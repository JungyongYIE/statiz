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068" tabRatio="600" firstSheet="0" activeTab="0" autoFilterDateGrouping="1"/>
  </bookViews>
  <sheets>
    <sheet xmlns:r="http://schemas.openxmlformats.org/officeDocument/2006/relationships" name="Raw_Submission_Log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'Raw_Submission_Log'!$A$1:$K$543</definedName>
  </definedNames>
  <calcPr calcId="191029" fullCalcOnLoad="1"/>
  <pivotCaches>
    <pivotCache xmlns:r="http://schemas.openxmlformats.org/officeDocument/2006/relationships" cacheId="10" r:id="rId3"/>
  </pivotCaches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User" refreshedDate="46223.45789618055" createdVersion="6" refreshedVersion="6" minRefreshableVersion="3" recordCount="406" r:id="rId1">
  <cacheSource type="worksheet">
    <worksheetSource ref="A1:O1048576" sheet="Raw_Submission_Log"/>
  </cacheSource>
  <cacheFields count="15">
    <cacheField name="game_id" uniqueList="1" numFmtId="0" sqlType="0" hierarchy="0" level="0" databaseField="1">
      <sharedItems count="0" containsBlank="1" containsInteger="1" containsNumber="1" containsString="0" minValue="20260046" maxValue="20260465"/>
    </cacheField>
    <cacheField name="game_date" uniqueList="1" numFmtId="0" sqlType="0" hierarchy="0" level="0" databaseField="1">
      <sharedItems count="0" containsBlank="1"/>
    </cacheField>
    <cacheField name="home_team" uniqueList="1" numFmtId="0" sqlType="0" hierarchy="0" level="0" databaseField="1">
      <sharedItems count="0" containsBlank="1"/>
    </cacheField>
    <cacheField name="away_team" uniqueList="1" numFmtId="0" sqlType="0" hierarchy="0" level="0" databaseField="1">
      <sharedItems count="0" containsBlank="1"/>
    </cacheField>
    <cacheField name="home_team_code" uniqueList="1" numFmtId="0" sqlType="0" hierarchy="0" level="0" databaseField="1">
      <sharedItems count="0" containsBlank="1" containsInteger="1" containsNumber="1" containsString="0" minValue="1001" maxValue="12001"/>
    </cacheField>
    <cacheField name="away_team_code" uniqueList="1" numFmtId="0" sqlType="0" hierarchy="0" level="0" databaseField="1">
      <sharedItems count="0" containsBlank="1" containsInteger="1" containsNumber="1" containsString="0" minValue="1001" maxValue="12001"/>
    </cacheField>
    <cacheField name="home_win_percent" uniqueList="1" numFmtId="0" sqlType="0" hierarchy="0" level="0" databaseField="1">
      <sharedItems count="0" containsBlank="1" containsNumber="1" containsString="0" minValue="8.49" maxValue="100"/>
    </cacheField>
    <cacheField name="home_win_proba" uniqueList="1" numFmtId="0" sqlType="0" hierarchy="0" level="0" databaseField="1">
      <sharedItems count="0" containsBlank="1" containsNumber="1" containsString="0" minValue="0.0849" maxValue="1"/>
    </cacheField>
    <cacheField name="model_name" uniqueList="1" numFmtId="0" sqlType="0" hierarchy="0" level="0" databaseField="1">
      <sharedItems count="8" containsBlank="1">
        <s v="full"/>
        <s v="sp"/>
        <s v="non"/>
        <s v="core_full"/>
        <s v="core_sp"/>
        <s v="elo_sp"/>
        <s v="elo_full"/>
        <m/>
      </sharedItems>
    </cacheField>
    <cacheField name="confidence" uniqueList="1" numFmtId="0" sqlType="0" hierarchy="0" level="0" databaseField="1">
      <sharedItems count="0" containsBlank="1" containsNumber="1" containsString="0" minValue="0.5000040310480022" maxValue="1"/>
    </cacheField>
    <cacheField name="confidence_bucket" uniqueList="1" numFmtId="0" sqlType="0" hierarchy="0" level="0" databaseField="1">
      <sharedItems count="6" containsBlank="1">
        <s v="70~100"/>
        <s v="65~70"/>
        <s v="60~65"/>
        <s v="50~55"/>
        <s v="55~60"/>
        <m/>
      </sharedItems>
    </cacheField>
    <cacheField name="prediction_side" uniqueList="1" numFmtId="0" sqlType="0" hierarchy="0" level="0" databaseField="1">
      <sharedItems count="3" containsBlank="1">
        <s v="HOME"/>
        <s v="AWAY"/>
        <m/>
      </sharedItems>
    </cacheField>
    <cacheField name="brier_component" uniqueList="1" numFmtId="0" sqlType="0" hierarchy="0" level="0" databaseField="1">
      <sharedItems count="0" containsBlank="1" containsMixedTypes="1" containsNumber="1" minValue="0.007208009999999996" maxValue="1"/>
    </cacheField>
    <cacheField name="result" uniqueList="1" numFmtId="0" sqlType="0" hierarchy="0" level="0" databaseField="1">
      <sharedItems count="0" containsBlank="1" containsInteger="1" containsMixedTypes="1" containsNumber="1" minValue="0" maxValue="1"/>
    </cacheField>
    <cacheField name="correct" uniqueList="1" numFmtId="0" sqlType="0" hierarchy="0" level="0" databaseField="1">
      <sharedItems count="0" containsBlank="1" containsInteger="1" containsMixedTypes="1" containsNumber="1" minValue="0" maxValue="1"/>
    </cacheField>
  </cacheFields>
</pivotCacheDefinition>
</file>

<file path=xl/pivotCache/pivotCacheRecords1.xml><?xml version="1.0" encoding="utf-8"?>
<pivotCacheRecords xmlns="http://schemas.openxmlformats.org/spreadsheetml/2006/main" count="406">
  <r>
    <n v="20260046"/>
    <s v="2026-04-08"/>
    <s v="두산"/>
    <s v="키움"/>
    <n v="6002"/>
    <n v="10001"/>
    <n v="88.72"/>
    <n v="0.8872"/>
    <x v="0"/>
    <n v="0.8872"/>
    <x v="0"/>
    <x v="0"/>
    <n v="0.01272384"/>
    <n v="1"/>
    <n v="1"/>
  </r>
  <r>
    <n v="20260047"/>
    <s v="2026-04-08"/>
    <s v="SSG"/>
    <s v="한화"/>
    <n v="9002"/>
    <n v="7002"/>
    <n v="90.58"/>
    <n v="0.9058"/>
    <x v="0"/>
    <n v="0.9058"/>
    <x v="0"/>
    <x v="0"/>
    <n v="0.8204736400000001"/>
    <n v="0"/>
    <n v="0"/>
  </r>
  <r>
    <n v="20260048"/>
    <s v="2026-04-08"/>
    <s v="KIA"/>
    <s v="삼성"/>
    <n v="2002"/>
    <n v="1001"/>
    <n v="34.54"/>
    <n v="0.3454"/>
    <x v="0"/>
    <n v="0.6546000000000001"/>
    <x v="1"/>
    <x v="1"/>
    <n v="0.1193011599999999"/>
    <n v="1"/>
    <n v="0"/>
  </r>
  <r>
    <n v="20260049"/>
    <s v="2026-04-08"/>
    <s v="롯데"/>
    <s v="KT"/>
    <n v="3001"/>
    <n v="12001"/>
    <n v="8.49"/>
    <n v="0.0849"/>
    <x v="0"/>
    <n v="0.9151"/>
    <x v="0"/>
    <x v="1"/>
    <n v="0.007208009999999996"/>
    <n v="1"/>
    <n v="0"/>
  </r>
  <r>
    <n v="20260050"/>
    <s v="2026-04-08"/>
    <s v="NC"/>
    <s v="LG"/>
    <n v="11001"/>
    <n v="5002"/>
    <n v="12.38"/>
    <n v="0.1238"/>
    <x v="0"/>
    <n v="0.8762"/>
    <x v="0"/>
    <x v="1"/>
    <n v="0.76772644"/>
    <n v="0"/>
    <n v="1"/>
  </r>
  <r>
    <n v="20260051"/>
    <s v="2026-04-09"/>
    <s v="두산"/>
    <s v="키움"/>
    <n v="6002"/>
    <n v="10001"/>
    <n v="35.08"/>
    <n v="0.3508"/>
    <x v="1"/>
    <n v="0.6492"/>
    <x v="2"/>
    <x v="1"/>
    <s v=""/>
    <s v="cancel"/>
    <s v=""/>
  </r>
  <r>
    <n v="20260052"/>
    <s v="2026-04-09"/>
    <s v="SSG"/>
    <s v="한화"/>
    <n v="9002"/>
    <n v="7002"/>
    <n v="52.72"/>
    <n v="0.5272"/>
    <x v="1"/>
    <n v="0.5272"/>
    <x v="3"/>
    <x v="0"/>
    <s v=""/>
    <s v="cancel"/>
    <s v=""/>
  </r>
  <r>
    <n v="20260053"/>
    <s v="2026-04-09"/>
    <s v="KIA"/>
    <s v="삼성"/>
    <n v="2002"/>
    <n v="1001"/>
    <n v="62.24"/>
    <n v="0.6224"/>
    <x v="1"/>
    <n v="0.6224"/>
    <x v="2"/>
    <x v="0"/>
    <s v=""/>
    <s v="cancel"/>
    <s v=""/>
  </r>
  <r>
    <n v="20260054"/>
    <s v="2026-04-09"/>
    <s v="롯데"/>
    <s v="KT"/>
    <n v="3001"/>
    <n v="12001"/>
    <n v="38.11"/>
    <n v="0.3811"/>
    <x v="1"/>
    <n v="0.6189"/>
    <x v="2"/>
    <x v="1"/>
    <s v=""/>
    <s v="cancel"/>
    <s v=""/>
  </r>
  <r>
    <n v="20260055"/>
    <s v="2026-04-09"/>
    <s v="NC"/>
    <s v="LG"/>
    <n v="11001"/>
    <n v="5002"/>
    <n v="85.29000000000001"/>
    <n v="0.8529"/>
    <x v="1"/>
    <n v="0.8529"/>
    <x v="0"/>
    <x v="0"/>
    <s v=""/>
    <s v="cancel"/>
    <s v=""/>
  </r>
  <r>
    <n v="20260056"/>
    <s v="2026-04-10"/>
    <s v="LG"/>
    <s v="SSG"/>
    <n v="5002"/>
    <n v="9002"/>
    <n v="29.35"/>
    <n v="0.2935"/>
    <x v="1"/>
    <n v="0.7065"/>
    <x v="0"/>
    <x v="1"/>
    <n v="0.08614224999999999"/>
    <n v="1"/>
    <n v="0"/>
  </r>
  <r>
    <n v="20260057"/>
    <s v="2026-04-10"/>
    <s v="키움"/>
    <s v="롯데"/>
    <n v="10001"/>
    <n v="3001"/>
    <n v="73.65000000000001"/>
    <n v="0.7365"/>
    <x v="1"/>
    <n v="0.7365"/>
    <x v="0"/>
    <x v="0"/>
    <n v="0.5424322500000001"/>
    <n v="0"/>
    <n v="0"/>
  </r>
  <r>
    <n v="20260058"/>
    <s v="2026-04-10"/>
    <s v="KT"/>
    <s v="두산"/>
    <n v="12001"/>
    <n v="6002"/>
    <n v="57.85"/>
    <n v="0.5785"/>
    <x v="1"/>
    <n v="0.5785"/>
    <x v="4"/>
    <x v="0"/>
    <n v="0.33466225"/>
    <n v="0"/>
    <n v="0"/>
  </r>
  <r>
    <n v="20260059"/>
    <s v="2026-04-10"/>
    <s v="한화"/>
    <s v="KIA"/>
    <n v="7002"/>
    <n v="2002"/>
    <n v="33.09"/>
    <n v="0.3309"/>
    <x v="1"/>
    <n v="0.6691"/>
    <x v="1"/>
    <x v="1"/>
    <n v="0.4476948100000001"/>
    <n v="0"/>
    <n v="1"/>
  </r>
  <r>
    <n v="20260060"/>
    <s v="2026-04-10"/>
    <s v="삼성"/>
    <s v="NC"/>
    <n v="1001"/>
    <n v="11001"/>
    <n v="30.46"/>
    <n v="0.3046"/>
    <x v="1"/>
    <n v="0.6954"/>
    <x v="1"/>
    <x v="1"/>
    <n v="0.09278115999999999"/>
    <n v="1"/>
    <n v="0"/>
  </r>
  <r>
    <n v="20260061"/>
    <s v="2026-04-11"/>
    <s v="LG"/>
    <s v="SSG"/>
    <n v="5002"/>
    <n v="9002"/>
    <n v="64.56"/>
    <n v="0.6456"/>
    <x v="1"/>
    <n v="0.6456"/>
    <x v="2"/>
    <x v="0"/>
    <n v="0.12559936"/>
    <n v="1"/>
    <n v="1"/>
  </r>
  <r>
    <n v="20260062"/>
    <s v="2026-04-11"/>
    <s v="키움"/>
    <s v="롯데"/>
    <n v="10001"/>
    <n v="3001"/>
    <n v="51.07"/>
    <n v="0.5107"/>
    <x v="1"/>
    <n v="0.5107"/>
    <x v="3"/>
    <x v="0"/>
    <n v="0.2608144900000001"/>
    <n v="0"/>
    <n v="0"/>
  </r>
  <r>
    <n v="20260063"/>
    <s v="2026-04-11"/>
    <s v="KT"/>
    <s v="두산"/>
    <n v="12001"/>
    <n v="6002"/>
    <n v="24.04"/>
    <n v="0.2404"/>
    <x v="1"/>
    <n v="0.7596000000000001"/>
    <x v="0"/>
    <x v="1"/>
    <n v="0.05779215999999997"/>
    <n v="1"/>
    <n v="0"/>
  </r>
  <r>
    <n v="20260064"/>
    <s v="2026-04-11"/>
    <s v="한화"/>
    <s v="KIA"/>
    <n v="7002"/>
    <n v="2002"/>
    <n v="89.63"/>
    <n v="0.8963"/>
    <x v="1"/>
    <n v="0.8963"/>
    <x v="0"/>
    <x v="0"/>
    <n v="0.80335369"/>
    <n v="0"/>
    <n v="0"/>
  </r>
  <r>
    <n v="20260065"/>
    <s v="2026-04-11"/>
    <s v="삼성"/>
    <s v="NC"/>
    <n v="1001"/>
    <n v="11001"/>
    <n v="37.89"/>
    <n v="0.3789"/>
    <x v="1"/>
    <n v="0.6211"/>
    <x v="2"/>
    <x v="1"/>
    <n v="0.14356521"/>
    <n v="1"/>
    <n v="0"/>
  </r>
  <r>
    <n v="20260066"/>
    <s v="2026-04-12"/>
    <s v="LG"/>
    <s v="SSG"/>
    <n v="5002"/>
    <n v="9002"/>
    <n v="38.08"/>
    <n v="0.3808"/>
    <x v="1"/>
    <n v="0.6192"/>
    <x v="2"/>
    <x v="1"/>
    <n v="0.14500864"/>
    <n v="1"/>
    <n v="0"/>
  </r>
  <r>
    <n v="20260067"/>
    <s v="2026-04-12"/>
    <s v="키움"/>
    <s v="롯데"/>
    <n v="10001"/>
    <n v="3001"/>
    <n v="36.65"/>
    <n v="0.3665"/>
    <x v="1"/>
    <n v="0.6335"/>
    <x v="2"/>
    <x v="1"/>
    <n v="0.13432225"/>
    <n v="1"/>
    <n v="0"/>
  </r>
  <r>
    <n v="20260068"/>
    <s v="2026-04-12"/>
    <s v="KT"/>
    <s v="두산"/>
    <n v="12001"/>
    <n v="6002"/>
    <n v="73.31"/>
    <n v="0.7331"/>
    <x v="1"/>
    <n v="0.7331"/>
    <x v="0"/>
    <x v="0"/>
    <n v="0.07123561000000002"/>
    <n v="1"/>
    <n v="1"/>
  </r>
  <r>
    <n v="20260069"/>
    <s v="2026-04-12"/>
    <s v="한화"/>
    <s v="KIA"/>
    <n v="7002"/>
    <n v="2002"/>
    <n v="33.01"/>
    <n v="0.3301"/>
    <x v="1"/>
    <n v="0.6698999999999999"/>
    <x v="1"/>
    <x v="1"/>
    <n v="0.4487660099999999"/>
    <n v="0"/>
    <n v="1"/>
  </r>
  <r>
    <n v="20260070"/>
    <s v="2026-04-12"/>
    <s v="삼성"/>
    <s v="NC"/>
    <n v="1001"/>
    <n v="11001"/>
    <n v="60.31"/>
    <n v="0.6031"/>
    <x v="1"/>
    <n v="0.6031"/>
    <x v="2"/>
    <x v="0"/>
    <n v="0.15752961"/>
    <n v="1"/>
    <n v="1"/>
  </r>
  <r>
    <n v="20260071"/>
    <s v="2026-04-14"/>
    <s v="LG"/>
    <s v="롯데"/>
    <n v="5002"/>
    <n v="3001"/>
    <n v="57.69"/>
    <n v="0.5769"/>
    <x v="2"/>
    <n v="0.5769"/>
    <x v="4"/>
    <x v="0"/>
    <n v="0.17901361"/>
    <n v="1"/>
    <n v="1"/>
  </r>
  <r>
    <n v="20260072"/>
    <s v="2026-04-14"/>
    <s v="SSG"/>
    <s v="두산"/>
    <n v="9002"/>
    <n v="6002"/>
    <n v="55.62"/>
    <n v="0.5562"/>
    <x v="2"/>
    <n v="0.5562"/>
    <x v="4"/>
    <x v="0"/>
    <n v="0.30935844"/>
    <n v="0"/>
    <n v="0"/>
  </r>
  <r>
    <n v="20260073"/>
    <s v="2026-04-14"/>
    <s v="한화"/>
    <s v="삼성"/>
    <n v="7002"/>
    <n v="1001"/>
    <n v="49.8"/>
    <n v="0.498"/>
    <x v="2"/>
    <n v="0.502"/>
    <x v="3"/>
    <x v="1"/>
    <n v="0.252004"/>
    <n v="0"/>
    <n v="1"/>
  </r>
  <r>
    <n v="20260074"/>
    <s v="2026-04-14"/>
    <s v="KIA"/>
    <s v="키움"/>
    <n v="2002"/>
    <n v="10001"/>
    <n v="49.73"/>
    <n v="0.4973"/>
    <x v="2"/>
    <n v="0.5026999999999999"/>
    <x v="3"/>
    <x v="1"/>
    <n v="0.2473072900000001"/>
    <n v="1"/>
    <n v="0"/>
  </r>
  <r>
    <n v="20260075"/>
    <s v="2026-04-14"/>
    <s v="NC"/>
    <s v="KT"/>
    <n v="11001"/>
    <n v="12001"/>
    <n v="50.79"/>
    <n v="0.5079"/>
    <x v="2"/>
    <n v="0.5079"/>
    <x v="3"/>
    <x v="0"/>
    <n v="0.24216241"/>
    <n v="1"/>
    <n v="1"/>
  </r>
  <r>
    <n v="20260076"/>
    <s v="2026-04-15"/>
    <s v="LG"/>
    <s v="롯데"/>
    <n v="5002"/>
    <n v="3001"/>
    <n v="57.69"/>
    <n v="0.5769"/>
    <x v="2"/>
    <n v="0.5769"/>
    <x v="4"/>
    <x v="0"/>
    <n v="0.33281361"/>
    <n v="0"/>
    <n v="0"/>
  </r>
  <r>
    <n v="20260077"/>
    <s v="2026-04-15"/>
    <s v="SSG"/>
    <s v="두산"/>
    <n v="9002"/>
    <n v="6002"/>
    <n v="55.62"/>
    <n v="0.5562"/>
    <x v="2"/>
    <n v="0.5562"/>
    <x v="4"/>
    <x v="0"/>
    <n v="0.19695844"/>
    <n v="1"/>
    <n v="1"/>
  </r>
  <r>
    <n v="20260078"/>
    <s v="2026-04-15"/>
    <s v="한화"/>
    <s v="삼성"/>
    <n v="7002"/>
    <n v="1001"/>
    <n v="49.8"/>
    <n v="0.498"/>
    <x v="2"/>
    <n v="0.502"/>
    <x v="3"/>
    <x v="1"/>
    <n v="0.252004"/>
    <n v="0"/>
    <n v="1"/>
  </r>
  <r>
    <n v="20260079"/>
    <s v="2026-04-15"/>
    <s v="KIA"/>
    <s v="키움"/>
    <n v="2002"/>
    <n v="10001"/>
    <n v="49.73"/>
    <n v="0.4973"/>
    <x v="2"/>
    <n v="0.5026999999999999"/>
    <x v="3"/>
    <x v="1"/>
    <n v="0.2473072900000001"/>
    <n v="1"/>
    <n v="0"/>
  </r>
  <r>
    <n v="20260080"/>
    <s v="2026-04-15"/>
    <s v="NC"/>
    <s v="KT"/>
    <n v="11001"/>
    <n v="12001"/>
    <n v="50.79"/>
    <n v="0.5079"/>
    <x v="2"/>
    <n v="0.5079"/>
    <x v="3"/>
    <x v="0"/>
    <n v="0.25796241"/>
    <n v="0"/>
    <n v="0"/>
  </r>
  <r>
    <n v="20260081"/>
    <s v="2026-04-16"/>
    <s v="LG"/>
    <s v="롯데"/>
    <n v="5002"/>
    <n v="3001"/>
    <n v="57.69"/>
    <n v="0.5769"/>
    <x v="2"/>
    <n v="0.5769"/>
    <x v="4"/>
    <x v="0"/>
    <n v="0.17901361"/>
    <n v="1"/>
    <n v="1"/>
  </r>
  <r>
    <n v="20260082"/>
    <s v="2026-04-16"/>
    <s v="SSG"/>
    <s v="두산"/>
    <n v="9002"/>
    <n v="6002"/>
    <n v="55.62"/>
    <n v="0.5562"/>
    <x v="2"/>
    <n v="0.5562"/>
    <x v="4"/>
    <x v="0"/>
    <n v="0.19695844"/>
    <n v="1"/>
    <n v="1"/>
  </r>
  <r>
    <n v="20260083"/>
    <s v="2026-04-16"/>
    <s v="한화"/>
    <s v="삼성"/>
    <n v="7002"/>
    <n v="1001"/>
    <n v="49.8"/>
    <n v="0.498"/>
    <x v="2"/>
    <n v="0.502"/>
    <x v="3"/>
    <x v="1"/>
    <n v="0.252004"/>
    <n v="0"/>
    <n v="1"/>
  </r>
  <r>
    <n v="20260084"/>
    <s v="2026-04-16"/>
    <s v="KIA"/>
    <s v="키움"/>
    <n v="2002"/>
    <n v="10001"/>
    <n v="49.73"/>
    <n v="0.4973"/>
    <x v="2"/>
    <n v="0.5026999999999999"/>
    <x v="3"/>
    <x v="1"/>
    <n v="0.2473072900000001"/>
    <n v="1"/>
    <n v="0"/>
  </r>
  <r>
    <n v="20260085"/>
    <s v="2026-04-16"/>
    <s v="NC"/>
    <s v="KT"/>
    <n v="11001"/>
    <n v="12001"/>
    <n v="50.79"/>
    <n v="0.5079"/>
    <x v="2"/>
    <n v="0.5079"/>
    <x v="3"/>
    <x v="0"/>
    <n v="0.25796241"/>
    <n v="0"/>
    <n v="0"/>
  </r>
  <r>
    <n v="20260086"/>
    <s v="2026-04-17"/>
    <s v="두산"/>
    <s v="KIA"/>
    <n v="6002"/>
    <n v="2002"/>
    <n v="53.6"/>
    <n v="0.536"/>
    <x v="2"/>
    <n v="0.536"/>
    <x v="3"/>
    <x v="0"/>
    <n v="0.2872960000000001"/>
    <n v="0"/>
    <n v="0"/>
  </r>
  <r>
    <n v="20260087"/>
    <s v="2026-04-17"/>
    <s v="KT"/>
    <s v="키움"/>
    <n v="12001"/>
    <n v="10001"/>
    <n v="55.92"/>
    <n v="0.5592"/>
    <x v="2"/>
    <n v="0.5592"/>
    <x v="4"/>
    <x v="0"/>
    <n v="0.19430464"/>
    <n v="1"/>
    <n v="1"/>
  </r>
  <r>
    <n v="20260088"/>
    <s v="2026-04-17"/>
    <s v="삼성"/>
    <s v="LG"/>
    <n v="1001"/>
    <n v="5002"/>
    <n v="50.52"/>
    <n v="0.5052"/>
    <x v="2"/>
    <n v="0.5052"/>
    <x v="3"/>
    <x v="0"/>
    <s v=""/>
    <s v="cancel"/>
    <s v=""/>
  </r>
  <r>
    <n v="20260089"/>
    <s v="2026-04-17"/>
    <s v="롯데"/>
    <s v="한화"/>
    <n v="3001"/>
    <n v="7002"/>
    <n v="42.85"/>
    <n v="0.4285"/>
    <x v="2"/>
    <n v="0.5715"/>
    <x v="4"/>
    <x v="1"/>
    <s v=""/>
    <s v="cancel"/>
    <s v=""/>
  </r>
  <r>
    <n v="20260090"/>
    <s v="2026-04-17"/>
    <s v="NC"/>
    <s v="SSG"/>
    <n v="11001"/>
    <n v="9002"/>
    <n v="49.71"/>
    <n v="0.4971"/>
    <x v="2"/>
    <n v="0.5029"/>
    <x v="3"/>
    <x v="1"/>
    <s v=""/>
    <s v="cancel"/>
    <s v=""/>
  </r>
  <r>
    <n v="20260091"/>
    <s v="2026-04-18"/>
    <s v="두산"/>
    <s v="KIA"/>
    <n v="6002"/>
    <n v="2002"/>
    <n v="31.55"/>
    <n v="0.3155"/>
    <x v="1"/>
    <n v="0.6845"/>
    <x v="1"/>
    <x v="1"/>
    <n v="0.09954025"/>
    <n v="1"/>
    <n v="0"/>
  </r>
  <r>
    <n v="20260092"/>
    <s v="2026-04-18"/>
    <s v="KT"/>
    <s v="키움"/>
    <n v="12001"/>
    <n v="10001"/>
    <n v="56.35"/>
    <n v="0.5635"/>
    <x v="1"/>
    <n v="0.5635"/>
    <x v="4"/>
    <x v="0"/>
    <n v="0.19053225"/>
    <n v="1"/>
    <n v="1"/>
  </r>
  <r>
    <n v="20260093"/>
    <s v="2026-04-18"/>
    <s v="삼성"/>
    <s v="LG"/>
    <n v="1001"/>
    <n v="5002"/>
    <n v="44.98"/>
    <n v="0.4498"/>
    <x v="1"/>
    <n v="0.5502"/>
    <x v="4"/>
    <x v="1"/>
    <n v="0.20232004"/>
    <n v="1"/>
    <n v="0"/>
  </r>
  <r>
    <n v="20260094"/>
    <s v="2026-04-18"/>
    <s v="롯데"/>
    <s v="한화"/>
    <n v="3001"/>
    <n v="7002"/>
    <n v="42.59"/>
    <n v="0.4259"/>
    <x v="1"/>
    <n v="0.5741000000000001"/>
    <x v="4"/>
    <x v="1"/>
    <n v="0.3295908100000001"/>
    <n v="0"/>
    <n v="1"/>
  </r>
  <r>
    <n v="20260095"/>
    <s v="2026-04-18"/>
    <s v="NC"/>
    <s v="SSG"/>
    <n v="11001"/>
    <n v="9002"/>
    <n v="58.07"/>
    <n v="0.5807"/>
    <x v="1"/>
    <n v="0.5807"/>
    <x v="4"/>
    <x v="0"/>
    <n v="0.33721249"/>
    <n v="0"/>
    <n v="0"/>
  </r>
  <r>
    <n v="20260096"/>
    <s v="2026-04-19"/>
    <s v="두산"/>
    <s v="KIA"/>
    <n v="6002"/>
    <n v="2002"/>
    <n v="56.92"/>
    <n v="0.5692"/>
    <x v="1"/>
    <n v="0.5692"/>
    <x v="4"/>
    <x v="0"/>
    <n v="0.18558864"/>
    <n v="1"/>
    <n v="1"/>
  </r>
  <r>
    <n v="20260097"/>
    <s v="2026-04-19"/>
    <s v="KT"/>
    <s v="키움"/>
    <n v="12001"/>
    <n v="10001"/>
    <n v="63.18"/>
    <n v="0.6318"/>
    <x v="1"/>
    <n v="0.6318"/>
    <x v="2"/>
    <x v="0"/>
    <n v="0.39917124"/>
    <n v="0"/>
    <n v="0"/>
  </r>
  <r>
    <n v="20260098"/>
    <s v="2026-04-19"/>
    <s v="삼성"/>
    <s v="LG"/>
    <n v="1001"/>
    <n v="5002"/>
    <n v="60.41"/>
    <n v="0.6041"/>
    <x v="1"/>
    <n v="0.6041"/>
    <x v="2"/>
    <x v="0"/>
    <n v="0.3649368099999999"/>
    <n v="0"/>
    <n v="0"/>
  </r>
  <r>
    <n v="20260099"/>
    <s v="2026-04-19"/>
    <s v="롯데"/>
    <s v="한화"/>
    <n v="3001"/>
    <n v="7002"/>
    <n v="72.73999999999999"/>
    <n v="0.7274"/>
    <x v="1"/>
    <n v="0.7274"/>
    <x v="0"/>
    <x v="0"/>
    <n v="0.07431075999999998"/>
    <n v="1"/>
    <n v="1"/>
  </r>
  <r>
    <n v="20260100"/>
    <s v="2026-04-19"/>
    <s v="NC"/>
    <s v="SSG"/>
    <n v="11001"/>
    <n v="9002"/>
    <n v="74.58"/>
    <n v="0.7458"/>
    <x v="1"/>
    <n v="0.7458"/>
    <x v="0"/>
    <x v="0"/>
    <n v="0.5562176400000001"/>
    <n v="0"/>
    <n v="0"/>
  </r>
  <r>
    <n v="20260101"/>
    <s v="2026-04-21"/>
    <s v="LG"/>
    <s v="한화"/>
    <n v="5002"/>
    <n v="7002"/>
    <n v="60.2"/>
    <n v="0.602"/>
    <x v="0"/>
    <n v="0.602"/>
    <x v="2"/>
    <x v="0"/>
    <n v="0.158404"/>
    <n v="1"/>
    <n v="1"/>
  </r>
  <r>
    <n v="20260102"/>
    <s v="2026-04-21"/>
    <s v="키움"/>
    <s v="NC"/>
    <n v="10001"/>
    <n v="11001"/>
    <n v="37.09"/>
    <n v="0.3709"/>
    <x v="0"/>
    <n v="0.6291"/>
    <x v="2"/>
    <x v="1"/>
    <n v="0.13756681"/>
    <n v="1"/>
    <n v="0"/>
  </r>
  <r>
    <n v="20260103"/>
    <s v="2026-04-21"/>
    <s v="KT"/>
    <s v="KIA"/>
    <n v="12001"/>
    <n v="2002"/>
    <n v="84.59999999999999"/>
    <n v="0.846"/>
    <x v="0"/>
    <n v="0.846"/>
    <x v="0"/>
    <x v="0"/>
    <n v="0.02371600000000001"/>
    <n v="1"/>
    <n v="1"/>
  </r>
  <r>
    <n v="20260104"/>
    <s v="2026-04-21"/>
    <s v="삼성"/>
    <s v="SSG"/>
    <n v="1001"/>
    <n v="9002"/>
    <n v="53.4"/>
    <n v="0.534"/>
    <x v="0"/>
    <n v="0.534"/>
    <x v="3"/>
    <x v="0"/>
    <n v="0.285156"/>
    <n v="0"/>
    <n v="0"/>
  </r>
  <r>
    <n v="20260105"/>
    <s v="2026-04-21"/>
    <s v="롯데"/>
    <s v="두산"/>
    <n v="3001"/>
    <n v="6002"/>
    <n v="60.27"/>
    <n v="0.6027"/>
    <x v="0"/>
    <n v="0.6027"/>
    <x v="2"/>
    <x v="0"/>
    <n v="0.36324729"/>
    <n v="0"/>
    <n v="0"/>
  </r>
  <r>
    <n v="20260106"/>
    <s v="2026-04-22"/>
    <s v="LG"/>
    <s v="한화"/>
    <n v="5002"/>
    <n v="7002"/>
    <n v="36.57"/>
    <n v="0.3657"/>
    <x v="0"/>
    <n v="0.6343"/>
    <x v="2"/>
    <x v="1"/>
    <n v="0.13373649"/>
    <n v="1"/>
    <n v="0"/>
  </r>
  <r>
    <n v="20260107"/>
    <s v="2026-04-22"/>
    <s v="키움"/>
    <s v="NC"/>
    <n v="10001"/>
    <n v="11001"/>
    <n v="64.45"/>
    <n v="0.6445"/>
    <x v="0"/>
    <n v="0.6445"/>
    <x v="2"/>
    <x v="0"/>
    <n v="0.12638025"/>
    <n v="1"/>
    <n v="1"/>
  </r>
  <r>
    <n v="20260108"/>
    <s v="2026-04-22"/>
    <s v="KT"/>
    <s v="KIA"/>
    <n v="12001"/>
    <n v="2002"/>
    <n v="34.28"/>
    <n v="0.3428"/>
    <x v="0"/>
    <n v="0.6572"/>
    <x v="1"/>
    <x v="1"/>
    <n v="0.11751184"/>
    <n v="1"/>
    <n v="0"/>
  </r>
  <r>
    <n v="20260109"/>
    <s v="2026-04-22"/>
    <s v="삼성"/>
    <s v="SSG"/>
    <n v="1001"/>
    <n v="9002"/>
    <n v="53.52"/>
    <n v="0.5352"/>
    <x v="0"/>
    <n v="0.5352"/>
    <x v="3"/>
    <x v="0"/>
    <n v="0.28643904"/>
    <n v="0"/>
    <n v="0"/>
  </r>
  <r>
    <n v="20260110"/>
    <s v="2026-04-22"/>
    <s v="롯데"/>
    <s v="두산"/>
    <n v="3001"/>
    <n v="6002"/>
    <n v="49.38"/>
    <n v="0.4938"/>
    <x v="0"/>
    <n v="0.5062"/>
    <x v="3"/>
    <x v="1"/>
    <n v="0.25623844"/>
    <n v="0"/>
    <n v="1"/>
  </r>
  <r>
    <n v="20260111"/>
    <s v="2026-04-23"/>
    <s v="LG"/>
    <s v="한화"/>
    <n v="5002"/>
    <n v="7002"/>
    <n v="27.98"/>
    <n v="0.2798"/>
    <x v="3"/>
    <n v="0.7202"/>
    <x v="0"/>
    <x v="1"/>
    <n v="0.5186880399999999"/>
    <n v="0"/>
    <n v="1"/>
  </r>
  <r>
    <n v="20260112"/>
    <s v="2026-04-23"/>
    <s v="키움"/>
    <s v="NC"/>
    <n v="10001"/>
    <n v="11001"/>
    <n v="31.51"/>
    <n v="0.3151"/>
    <x v="3"/>
    <n v="0.6849000000000001"/>
    <x v="1"/>
    <x v="1"/>
    <n v="0.4690880100000001"/>
    <n v="0"/>
    <n v="1"/>
  </r>
  <r>
    <n v="20260113"/>
    <s v="2026-04-23"/>
    <s v="KT"/>
    <s v="KIA"/>
    <n v="12001"/>
    <n v="2002"/>
    <n v="66.39"/>
    <n v="0.6639"/>
    <x v="3"/>
    <n v="0.6639"/>
    <x v="1"/>
    <x v="0"/>
    <n v="0.11296321"/>
    <n v="1"/>
    <n v="1"/>
  </r>
  <r>
    <n v="20260114"/>
    <s v="2026-04-23"/>
    <s v="삼성"/>
    <s v="SSG"/>
    <n v="1001"/>
    <n v="9002"/>
    <n v="43.72"/>
    <n v="0.4372"/>
    <x v="3"/>
    <n v="0.5628"/>
    <x v="4"/>
    <x v="1"/>
    <n v="0.3167438399999999"/>
    <n v="0"/>
    <n v="1"/>
  </r>
  <r>
    <n v="20260115"/>
    <s v="2026-04-23"/>
    <s v="롯데"/>
    <s v="두산"/>
    <n v="3001"/>
    <n v="6002"/>
    <n v="38.88"/>
    <n v="0.3888"/>
    <x v="3"/>
    <n v="0.6112"/>
    <x v="2"/>
    <x v="1"/>
    <n v="0.15116544"/>
    <n v="1"/>
    <n v="0"/>
  </r>
  <r>
    <n v="20260116"/>
    <s v="2026-04-24"/>
    <s v="두산"/>
    <s v="LG"/>
    <n v="6002"/>
    <n v="5002"/>
    <n v="53.33"/>
    <n v="0.5333"/>
    <x v="3"/>
    <n v="0.5333"/>
    <x v="3"/>
    <x v="0"/>
    <n v="0.28440889"/>
    <n v="0"/>
    <n v="0"/>
  </r>
  <r>
    <n v="20260117"/>
    <s v="2026-04-24"/>
    <s v="키움"/>
    <s v="삼성"/>
    <n v="10001"/>
    <n v="1001"/>
    <n v="60.71"/>
    <n v="0.6071"/>
    <x v="3"/>
    <n v="0.6071"/>
    <x v="2"/>
    <x v="0"/>
    <n v="0.15437041"/>
    <n v="1"/>
    <n v="1"/>
  </r>
  <r>
    <n v="20260118"/>
    <s v="2026-04-24"/>
    <s v="SSG"/>
    <s v="KT"/>
    <n v="9002"/>
    <n v="12001"/>
    <n v="19.15"/>
    <n v="0.1915"/>
    <x v="3"/>
    <n v="0.8085"/>
    <x v="0"/>
    <x v="1"/>
    <n v="0.03667225"/>
    <n v="1"/>
    <n v="0"/>
  </r>
  <r>
    <n v="20260119"/>
    <s v="2026-04-24"/>
    <s v="한화"/>
    <s v="NC"/>
    <n v="7002"/>
    <n v="11001"/>
    <n v="60.9"/>
    <n v="0.609"/>
    <x v="3"/>
    <n v="0.609"/>
    <x v="2"/>
    <x v="0"/>
    <n v="0.370881"/>
    <n v="0"/>
    <n v="0"/>
  </r>
  <r>
    <n v="20260120"/>
    <s v="2026-04-24"/>
    <s v="KIA"/>
    <s v="롯데"/>
    <n v="2002"/>
    <n v="3001"/>
    <n v="66.59"/>
    <n v="0.6659"/>
    <x v="3"/>
    <n v="0.6659"/>
    <x v="1"/>
    <x v="0"/>
    <n v="0.11162281"/>
    <n v="1"/>
    <n v="1"/>
  </r>
  <r>
    <n v="20260121"/>
    <s v="2026-04-25"/>
    <s v="두산"/>
    <s v="LG"/>
    <n v="6002"/>
    <n v="5002"/>
    <n v="56.75"/>
    <n v="0.5675"/>
    <x v="4"/>
    <n v="0.5675"/>
    <x v="4"/>
    <x v="0"/>
    <n v="0.32205625"/>
    <n v="0"/>
    <n v="0"/>
  </r>
  <r>
    <n v="20260122"/>
    <s v="2026-04-25"/>
    <s v="키움"/>
    <s v="삼성"/>
    <n v="10001"/>
    <n v="1001"/>
    <n v="46.12"/>
    <n v="0.4612"/>
    <x v="4"/>
    <n v="0.5387999999999999"/>
    <x v="3"/>
    <x v="1"/>
    <n v="0.2127054400000001"/>
    <n v="1"/>
    <n v="0"/>
  </r>
  <r>
    <n v="20260123"/>
    <s v="2026-04-25"/>
    <s v="SSG"/>
    <s v="KT"/>
    <n v="9002"/>
    <n v="12001"/>
    <n v="24.68"/>
    <n v="0.2468"/>
    <x v="4"/>
    <n v="0.7532"/>
    <x v="0"/>
    <x v="1"/>
    <n v="0.06091024000000001"/>
    <n v="1"/>
    <n v="0"/>
  </r>
  <r>
    <n v="20260124"/>
    <s v="2026-04-25"/>
    <s v="한화"/>
    <s v="NC"/>
    <n v="7002"/>
    <n v="11001"/>
    <n v="35.75"/>
    <n v="0.3575"/>
    <x v="4"/>
    <n v="0.6425000000000001"/>
    <x v="2"/>
    <x v="1"/>
    <n v="0.12780625"/>
    <n v="1"/>
    <n v="0"/>
  </r>
  <r>
    <n v="20260125"/>
    <s v="2026-04-25"/>
    <s v="KIA"/>
    <s v="롯데"/>
    <n v="2002"/>
    <n v="3001"/>
    <n v="45.31"/>
    <n v="0.4531"/>
    <x v="4"/>
    <n v="0.5468999999999999"/>
    <x v="3"/>
    <x v="1"/>
    <n v="0.20529961"/>
    <n v="1"/>
    <n v="0"/>
  </r>
  <r>
    <n v="20260126"/>
    <s v="2026-04-26"/>
    <s v="두산"/>
    <s v="LG"/>
    <n v="6002"/>
    <n v="5002"/>
    <n v="61.63"/>
    <n v="0.6163"/>
    <x v="3"/>
    <n v="0.6163"/>
    <x v="2"/>
    <x v="0"/>
    <n v="0.14722569"/>
    <n v="1"/>
    <n v="1"/>
  </r>
  <r>
    <n v="20260127"/>
    <s v="2026-04-26"/>
    <s v="키움"/>
    <s v="삼성"/>
    <n v="10001"/>
    <n v="1001"/>
    <n v="14.46"/>
    <n v="0.1446"/>
    <x v="3"/>
    <n v="0.8553999999999999"/>
    <x v="0"/>
    <x v="1"/>
    <n v="0.02090916000000002"/>
    <n v="1"/>
    <n v="0"/>
  </r>
  <r>
    <n v="20260128"/>
    <s v="2026-04-26"/>
    <s v="SSG"/>
    <s v="KT"/>
    <n v="9002"/>
    <n v="12001"/>
    <n v="35.13"/>
    <n v="0.3513"/>
    <x v="3"/>
    <n v="0.6487000000000001"/>
    <x v="2"/>
    <x v="1"/>
    <n v="0.4208116900000001"/>
    <n v="0"/>
    <n v="1"/>
  </r>
  <r>
    <n v="20260129"/>
    <s v="2026-04-26"/>
    <s v="한화"/>
    <s v="NC"/>
    <n v="7002"/>
    <n v="11001"/>
    <n v="36.66"/>
    <n v="0.3666"/>
    <x v="3"/>
    <n v="0.6334"/>
    <x v="2"/>
    <x v="1"/>
    <n v="0.40119556"/>
    <n v="0"/>
    <n v="1"/>
  </r>
  <r>
    <n v="20260130"/>
    <s v="2026-04-26"/>
    <s v="KIA"/>
    <s v="롯데"/>
    <n v="2002"/>
    <n v="3001"/>
    <n v="28.49"/>
    <n v="0.2849"/>
    <x v="3"/>
    <n v="0.7151000000000001"/>
    <x v="0"/>
    <x v="1"/>
    <s v=""/>
    <s v="draw"/>
    <s v=""/>
  </r>
  <r>
    <n v="20260131"/>
    <s v="2026-04-28"/>
    <s v="두산"/>
    <s v="삼성"/>
    <n v="6002"/>
    <n v="1001"/>
    <n v="48.05"/>
    <n v="0.4805371963158181"/>
    <x v="3"/>
    <n v="0.519462803684182"/>
    <x v="3"/>
    <x v="1"/>
    <n v="0.269841604411431"/>
    <n v="0"/>
    <n v="1"/>
  </r>
  <r>
    <n v="20260132"/>
    <s v="2026-04-28"/>
    <s v="KT"/>
    <s v="LG"/>
    <n v="12001"/>
    <n v="5002"/>
    <n v="31.9"/>
    <n v="0.3189570478672066"/>
    <x v="3"/>
    <n v="0.6810429521327934"/>
    <x v="1"/>
    <x v="1"/>
    <n v="0.1017335983841635"/>
    <n v="1"/>
    <n v="0"/>
  </r>
  <r>
    <n v="20260133"/>
    <s v="2026-04-28"/>
    <s v="한화"/>
    <s v="SSG"/>
    <n v="7002"/>
    <n v="9002"/>
    <n v="51.69"/>
    <n v="0.5168613753265812"/>
    <x v="3"/>
    <n v="0.5168613753265812"/>
    <x v="3"/>
    <x v="0"/>
    <n v="0.2334229306513227"/>
    <n v="1"/>
    <n v="1"/>
  </r>
  <r>
    <n v="20260134"/>
    <s v="2026-04-28"/>
    <s v="롯데"/>
    <s v="키움"/>
    <n v="3001"/>
    <n v="10001"/>
    <n v="41.82"/>
    <n v="0.4182328485764429"/>
    <x v="3"/>
    <n v="0.5817671514235572"/>
    <x v="4"/>
    <x v="1"/>
    <n v="0.1749187156283658"/>
    <n v="1"/>
    <n v="0"/>
  </r>
  <r>
    <n v="20260135"/>
    <s v="2026-04-28"/>
    <s v="NC"/>
    <s v="KIA"/>
    <n v="11001"/>
    <n v="2002"/>
    <n v="33.33"/>
    <n v="0.3332772775172348"/>
    <x v="3"/>
    <n v="0.6667227224827652"/>
    <x v="1"/>
    <x v="1"/>
    <n v="0.1110737437092999"/>
    <n v="1"/>
    <n v="0"/>
  </r>
  <r>
    <n v="20260136"/>
    <s v="2026-04-29"/>
    <s v="두산"/>
    <s v="삼성"/>
    <n v="6002"/>
    <n v="1001"/>
    <n v="55.18"/>
    <n v="0.5517783419021589"/>
    <x v="4"/>
    <n v="0.5517783419021589"/>
    <x v="4"/>
    <x v="0"/>
    <n v="0.2009026547879779"/>
    <n v="1"/>
    <n v="1"/>
  </r>
  <r>
    <n v="20260137"/>
    <s v="2026-04-29"/>
    <s v="KT"/>
    <s v="LG"/>
    <n v="12001"/>
    <n v="5002"/>
    <n v="63.64"/>
    <n v="0.6364005896149976"/>
    <x v="4"/>
    <n v="0.6364005896149976"/>
    <x v="2"/>
    <x v="0"/>
    <n v="0.1322045312323214"/>
    <n v="1"/>
    <n v="1"/>
  </r>
  <r>
    <n v="20260138"/>
    <s v="2026-04-29"/>
    <s v="한화"/>
    <s v="SSG"/>
    <n v="7002"/>
    <n v="9002"/>
    <n v="58.4"/>
    <n v="0.5840059543753823"/>
    <x v="4"/>
    <n v="0.5840059543753823"/>
    <x v="4"/>
    <x v="0"/>
    <n v="0.3410629547459011"/>
    <n v="0"/>
    <n v="0"/>
  </r>
  <r>
    <n v="20260139"/>
    <s v="2026-04-29"/>
    <s v="롯데"/>
    <s v="키움"/>
    <n v="3001"/>
    <n v="10001"/>
    <n v="44.99"/>
    <n v="0.4498846605387565"/>
    <x v="4"/>
    <n v="0.5501153394612435"/>
    <x v="4"/>
    <x v="1"/>
    <n v="0.3026268867105592"/>
    <n v="0"/>
    <n v="1"/>
  </r>
  <r>
    <n v="20260140"/>
    <s v="2026-04-29"/>
    <s v="NC"/>
    <s v="KIA"/>
    <n v="11001"/>
    <n v="2002"/>
    <n v="66.16"/>
    <n v="0.6616164752638154"/>
    <x v="4"/>
    <n v="0.6616164752638154"/>
    <x v="1"/>
    <x v="0"/>
    <n v="0.4377363603405148"/>
    <n v="0"/>
    <n v="0"/>
  </r>
  <r>
    <n v="20260141"/>
    <s v="2026-04-30"/>
    <s v="두산"/>
    <s v="삼성"/>
    <n v="6002"/>
    <n v="1001"/>
    <n v="55.79"/>
    <n v="0.5578853576763507"/>
    <x v="4"/>
    <n v="0.5578853576763507"/>
    <x v="4"/>
    <x v="0"/>
    <n v="0.1954653569569683"/>
    <n v="1"/>
    <n v="1"/>
  </r>
  <r>
    <n v="20260142"/>
    <s v="2026-04-30"/>
    <s v="KT"/>
    <s v="LG"/>
    <n v="12001"/>
    <n v="5002"/>
    <n v="71.19"/>
    <n v="0.7119135430725531"/>
    <x v="4"/>
    <n v="0.7119135430725531"/>
    <x v="0"/>
    <x v="0"/>
    <n v="0.5068208928101159"/>
    <n v="0"/>
    <n v="0"/>
  </r>
  <r>
    <n v="20260143"/>
    <s v="2026-04-30"/>
    <s v="한화"/>
    <s v="SSG"/>
    <n v="7002"/>
    <n v="9002"/>
    <n v="58.16"/>
    <n v="0.5816069541356079"/>
    <x v="4"/>
    <n v="0.5816069541356079"/>
    <x v="4"/>
    <x v="0"/>
    <n v="0.3382666490988991"/>
    <n v="0"/>
    <n v="0"/>
  </r>
  <r>
    <n v="20260144"/>
    <s v="2026-04-30"/>
    <s v="롯데"/>
    <s v="키움"/>
    <n v="3001"/>
    <n v="10001"/>
    <n v="52.46"/>
    <n v="0.5246337125019768"/>
    <x v="4"/>
    <n v="0.5246337125019768"/>
    <x v="3"/>
    <x v="0"/>
    <n v="0.2259731072896533"/>
    <n v="1"/>
    <n v="1"/>
  </r>
  <r>
    <n v="20260145"/>
    <s v="2026-04-30"/>
    <s v="NC"/>
    <s v="KIA"/>
    <n v="11001"/>
    <n v="2002"/>
    <n v="32.03"/>
    <n v="0.3202911251751967"/>
    <x v="4"/>
    <n v="0.6797088748248032"/>
    <x v="1"/>
    <x v="1"/>
    <n v="0.1025864048659936"/>
    <n v="1"/>
    <n v="0"/>
  </r>
  <r>
    <n v="20260146"/>
    <s v="2026-05-01"/>
    <s v="LG"/>
    <s v="NC"/>
    <n v="5002"/>
    <n v="11001"/>
    <n v="50.46"/>
    <n v="0.5046309271313746"/>
    <x v="4"/>
    <n v="0.5046309271313746"/>
    <x v="3"/>
    <x v="0"/>
    <n v="0.2453905183547215"/>
    <n v="1"/>
    <n v="1"/>
  </r>
  <r>
    <n v="20260147"/>
    <s v="2026-05-01"/>
    <s v="키움"/>
    <s v="두산"/>
    <n v="10001"/>
    <n v="6002"/>
    <n v="41.32"/>
    <n v="0.4131633825686172"/>
    <x v="4"/>
    <n v="0.5868366174313828"/>
    <x v="4"/>
    <x v="1"/>
    <n v="0.3443772155583071"/>
    <n v="0"/>
    <n v="1"/>
  </r>
  <r>
    <n v="20260148"/>
    <s v="2026-05-01"/>
    <s v="SSG"/>
    <s v="롯데"/>
    <n v="9002"/>
    <n v="3001"/>
    <n v="38.95"/>
    <n v="0.3895130414945705"/>
    <x v="4"/>
    <n v="0.6104869585054296"/>
    <x v="2"/>
    <x v="1"/>
    <n v="0.3726943265052101"/>
    <n v="0"/>
    <n v="1"/>
  </r>
  <r>
    <n v="20260149"/>
    <s v="2026-05-01"/>
    <s v="삼성"/>
    <s v="한화"/>
    <n v="1001"/>
    <n v="7002"/>
    <n v="57.52"/>
    <n v="0.5752147019564056"/>
    <x v="4"/>
    <n v="0.5752147019564056"/>
    <x v="4"/>
    <x v="0"/>
    <n v="0.1804425494339854"/>
    <n v="1"/>
    <n v="1"/>
  </r>
  <r>
    <n v="20260150"/>
    <s v="2026-05-01"/>
    <s v="KIA"/>
    <s v="KT"/>
    <n v="2002"/>
    <n v="12001"/>
    <n v="50.26"/>
    <n v="0.5025603248143491"/>
    <x v="4"/>
    <n v="0.5025603248143491"/>
    <x v="3"/>
    <x v="0"/>
    <n v="0.2525668800775041"/>
    <n v="0"/>
    <n v="0"/>
  </r>
  <r>
    <n v="20260153"/>
    <s v="2026-05-02"/>
    <s v="SSG"/>
    <s v="롯데"/>
    <n v="9002"/>
    <n v="3001"/>
    <n v="35.93"/>
    <n v="0.359263295257383"/>
    <x v="4"/>
    <n v="0.640736704742617"/>
    <x v="2"/>
    <x v="1"/>
    <n v="0.4105435248044276"/>
    <n v="0"/>
    <n v="1"/>
  </r>
  <r>
    <n v="20260151"/>
    <s v="2026-05-02"/>
    <s v="LG"/>
    <s v="NC"/>
    <n v="5002"/>
    <n v="11001"/>
    <n v="69.38"/>
    <n v="0.6938160546049293"/>
    <x v="4"/>
    <n v="0.6938160546049293"/>
    <x v="1"/>
    <x v="0"/>
    <n v="0.09374860841769161"/>
    <n v="1"/>
    <n v="1"/>
  </r>
  <r>
    <n v="20260152"/>
    <s v="2026-05-02"/>
    <s v="키움"/>
    <s v="두산"/>
    <n v="10001"/>
    <n v="6002"/>
    <n v="51.51"/>
    <n v="0.5150539985774428"/>
    <x v="4"/>
    <n v="0.5150539985774428"/>
    <x v="3"/>
    <x v="0"/>
    <n v="0.2351726242957268"/>
    <n v="1"/>
    <n v="1"/>
  </r>
  <r>
    <n v="20260154"/>
    <s v="2026-05-02"/>
    <s v="삼성"/>
    <s v="한화"/>
    <n v="1001"/>
    <n v="7002"/>
    <n v="63.57"/>
    <n v="0.6356751568209943"/>
    <x v="4"/>
    <n v="0.6356751568209943"/>
    <x v="2"/>
    <x v="0"/>
    <n v="0.4040829049993957"/>
    <n v="0"/>
    <n v="0"/>
  </r>
  <r>
    <n v="20260155"/>
    <s v="2026-05-02"/>
    <s v="KIA"/>
    <s v="KT"/>
    <n v="2002"/>
    <n v="12001"/>
    <n v="22.17"/>
    <n v="0.2217037159004945"/>
    <x v="4"/>
    <n v="0.7782962840995055"/>
    <x v="0"/>
    <x v="1"/>
    <n v="0.0491525376440872"/>
    <n v="1"/>
    <n v="0"/>
  </r>
  <r>
    <n v="20260156"/>
    <s v="2026-05-03"/>
    <s v="LG"/>
    <s v="NC"/>
    <n v="5002"/>
    <n v="11001"/>
    <n v="59.68"/>
    <n v="0.5968434701209167"/>
    <x v="3"/>
    <n v="0.5968434701209167"/>
    <x v="4"/>
    <x v="0"/>
    <n v="0.3562221278259775"/>
    <n v="0"/>
    <n v="0"/>
  </r>
  <r>
    <n v="20260157"/>
    <s v="2026-05-03"/>
    <s v="키움"/>
    <s v="두산"/>
    <n v="10001"/>
    <n v="6002"/>
    <n v="33.7"/>
    <n v="0.3369959680937486"/>
    <x v="3"/>
    <n v="0.6630040319062513"/>
    <x v="1"/>
    <x v="1"/>
    <n v="0.4395743463239455"/>
    <n v="0"/>
    <n v="1"/>
  </r>
  <r>
    <n v="20260158"/>
    <s v="2026-05-03"/>
    <s v="SSG"/>
    <s v="롯데"/>
    <n v="9002"/>
    <n v="3001"/>
    <n v="52.53"/>
    <n v="0.5252705269592602"/>
    <x v="3"/>
    <n v="0.5252705269592602"/>
    <x v="3"/>
    <x v="0"/>
    <n v="0.275909126492059"/>
    <n v="0"/>
    <n v="0"/>
  </r>
  <r>
    <n v="20260159"/>
    <s v="2026-05-03"/>
    <s v="삼성"/>
    <s v="한화"/>
    <n v="1001"/>
    <n v="7002"/>
    <n v="67.58"/>
    <n v="0.6758323792512235"/>
    <x v="3"/>
    <n v="0.6758323792512235"/>
    <x v="1"/>
    <x v="0"/>
    <n v="0.1050846463419226"/>
    <n v="1"/>
    <n v="1"/>
  </r>
  <r>
    <n v="20260160"/>
    <s v="2026-05-03"/>
    <s v="KIA"/>
    <s v="KT"/>
    <n v="2002"/>
    <n v="12001"/>
    <n v="60.45"/>
    <n v="0.6044646686812145"/>
    <x v="3"/>
    <n v="0.6044646686812145"/>
    <x v="2"/>
    <x v="0"/>
    <n v="0.3653775356838904"/>
    <n v="0"/>
    <n v="0"/>
  </r>
  <r>
    <n v="20260161"/>
    <s v="2026-05-05"/>
    <s v="LG"/>
    <s v="두산"/>
    <n v="5002"/>
    <n v="6002"/>
    <n v="55.57"/>
    <n v="0.5556770728198975"/>
    <x v="4"/>
    <n v="0.5556770728198975"/>
    <x v="4"/>
    <x v="0"/>
    <n v="0.1974228636178946"/>
    <n v="1"/>
    <n v="1"/>
  </r>
  <r>
    <n v="20260162"/>
    <s v="2026-05-05"/>
    <s v="SSG"/>
    <s v="NC"/>
    <n v="9002"/>
    <n v="11001"/>
    <n v="84.28"/>
    <n v="0.8427921168566392"/>
    <x v="4"/>
    <n v="0.8427921168566392"/>
    <x v="0"/>
    <x v="0"/>
    <s v=""/>
    <s v="draw"/>
    <s v=""/>
  </r>
  <r>
    <n v="20260163"/>
    <s v="2026-05-05"/>
    <s v="KT"/>
    <s v="롯데"/>
    <n v="12001"/>
    <n v="3001"/>
    <n v="49.71"/>
    <n v="0.4970715435409234"/>
    <x v="4"/>
    <n v="0.5029284564590766"/>
    <x v="3"/>
    <x v="1"/>
    <n v="0.2470801193981561"/>
    <n v="1"/>
    <n v="0"/>
  </r>
  <r>
    <n v="20260164"/>
    <s v="2026-05-05"/>
    <s v="삼성"/>
    <s v="키움"/>
    <n v="1001"/>
    <n v="10001"/>
    <n v="44.89"/>
    <n v="0.4488749852211815"/>
    <x v="4"/>
    <n v="0.5511250147788185"/>
    <x v="4"/>
    <x v="1"/>
    <n v="0.2014887523573159"/>
    <n v="1"/>
    <n v="0"/>
  </r>
  <r>
    <n v="20260165"/>
    <s v="2026-05-05"/>
    <s v="KIA"/>
    <s v="한화"/>
    <n v="2002"/>
    <n v="7002"/>
    <n v="49.57"/>
    <n v="0.495687043223474"/>
    <x v="4"/>
    <n v="0.504312956776526"/>
    <x v="3"/>
    <x v="1"/>
    <n v="0.2457056448196302"/>
    <n v="1"/>
    <n v="0"/>
  </r>
  <r>
    <n v="20260166"/>
    <s v="2026-05-06"/>
    <s v="LG"/>
    <s v="두산"/>
    <n v="5002"/>
    <n v="6002"/>
    <n v="35.16"/>
    <n v="0.3515808439856245"/>
    <x v="3"/>
    <n v="0.6484191560143755"/>
    <x v="2"/>
    <x v="1"/>
    <n v="0.123609089857644"/>
    <n v="1"/>
    <n v="0"/>
  </r>
  <r>
    <n v="20260167"/>
    <s v="2026-05-06"/>
    <s v="SSG"/>
    <s v="NC"/>
    <n v="9002"/>
    <n v="11001"/>
    <n v="42.66"/>
    <n v="0.4266464856703586"/>
    <x v="3"/>
    <n v="0.5733535143296413"/>
    <x v="4"/>
    <x v="1"/>
    <n v="0.1820272237348676"/>
    <n v="1"/>
    <n v="0"/>
  </r>
  <r>
    <n v="20260168"/>
    <s v="2026-05-06"/>
    <s v="KT"/>
    <s v="롯데"/>
    <n v="12001"/>
    <n v="3001"/>
    <n v="46.81"/>
    <n v="0.4680945058598358"/>
    <x v="3"/>
    <n v="0.5319054941401642"/>
    <x v="3"/>
    <x v="1"/>
    <n v="0.2829234546964923"/>
    <n v="0"/>
    <n v="1"/>
  </r>
  <r>
    <n v="20260169"/>
    <s v="2026-05-06"/>
    <s v="삼성"/>
    <s v="키움"/>
    <n v="1001"/>
    <n v="10001"/>
    <n v="69.25"/>
    <n v="0.692535750200136"/>
    <x v="3"/>
    <n v="0.692535750200136"/>
    <x v="1"/>
    <x v="0"/>
    <n v="0.09453426490499316"/>
    <n v="1"/>
    <n v="1"/>
  </r>
  <r>
    <n v="20260170"/>
    <s v="2026-05-06"/>
    <s v="KIA"/>
    <s v="한화"/>
    <n v="2002"/>
    <n v="7002"/>
    <n v="62.97"/>
    <n v="0.629663160063168"/>
    <x v="3"/>
    <n v="0.629663160063168"/>
    <x v="2"/>
    <x v="0"/>
    <n v="0.3964756951407348"/>
    <n v="0"/>
    <n v="0"/>
  </r>
  <r>
    <n v="20260171"/>
    <s v="2026-05-07"/>
    <s v="LG"/>
    <s v="두산"/>
    <n v="5002"/>
    <n v="6002"/>
    <n v="37.05"/>
    <n v="0.3704584926128489"/>
    <x v="3"/>
    <n v="0.6295415073871511"/>
    <x v="2"/>
    <x v="1"/>
    <n v="0.3963225095232864"/>
    <n v="0"/>
    <n v="1"/>
  </r>
  <r>
    <n v="20260172"/>
    <s v="2026-05-07"/>
    <s v="SSG"/>
    <s v="NC"/>
    <n v="9002"/>
    <n v="11001"/>
    <n v="39.91"/>
    <n v="0.3990798366473759"/>
    <x v="3"/>
    <n v="0.6009201633526241"/>
    <x v="2"/>
    <x v="1"/>
    <n v="0.3611050427237444"/>
    <n v="0"/>
    <n v="1"/>
  </r>
  <r>
    <n v="20260173"/>
    <s v="2026-05-07"/>
    <s v="KT"/>
    <s v="롯데"/>
    <n v="12001"/>
    <n v="3001"/>
    <n v="56.92"/>
    <n v="0.5692235789036996"/>
    <x v="4"/>
    <n v="0.5692235789036996"/>
    <x v="4"/>
    <x v="0"/>
    <s v=""/>
    <s v="cancel"/>
    <s v=""/>
  </r>
  <r>
    <n v="20260174"/>
    <s v="2026-05-07"/>
    <s v="삼성"/>
    <s v="키움"/>
    <n v="1001"/>
    <n v="10001"/>
    <n v="80.86"/>
    <n v="0.8086293654904804"/>
    <x v="3"/>
    <n v="0.8086293654904804"/>
    <x v="0"/>
    <x v="0"/>
    <n v="0.03662271975257615"/>
    <n v="1"/>
    <n v="1"/>
  </r>
  <r>
    <n v="20260175"/>
    <s v="2026-05-07"/>
    <s v="KIA"/>
    <s v="한화"/>
    <n v="2002"/>
    <n v="7002"/>
    <n v="49.78"/>
    <n v="0.4978379074402617"/>
    <x v="3"/>
    <n v="0.5021620925597383"/>
    <x v="3"/>
    <x v="1"/>
    <n v="0.2521667672039752"/>
    <n v="0"/>
    <n v="1"/>
  </r>
  <r>
    <n v="20260176"/>
    <s v="2026-05-08"/>
    <s v="두산"/>
    <s v="SSG"/>
    <n v="6002"/>
    <n v="9002"/>
    <n v="63.78"/>
    <n v="0.6377992425958298"/>
    <x v="3"/>
    <n v="0.6377992425958298"/>
    <x v="2"/>
    <x v="0"/>
    <n v="0.4067878738558141"/>
    <n v="0"/>
    <n v="0"/>
  </r>
  <r>
    <n v="20260177"/>
    <s v="2026-05-08"/>
    <s v="키움"/>
    <s v="KT"/>
    <n v="10001"/>
    <n v="12001"/>
    <n v="58.9"/>
    <n v="0.5890249888776217"/>
    <x v="3"/>
    <n v="0.5890249888776217"/>
    <x v="4"/>
    <x v="0"/>
    <n v="0.3469504375222823"/>
    <n v="0"/>
    <n v="0"/>
  </r>
  <r>
    <n v="20260178"/>
    <s v="2026-05-08"/>
    <s v="한화"/>
    <s v="LG"/>
    <n v="7002"/>
    <n v="5002"/>
    <n v="48.08"/>
    <n v="0.4808059722377918"/>
    <x v="3"/>
    <n v="0.5191940277622082"/>
    <x v="3"/>
    <x v="1"/>
    <n v="0.2695624384639447"/>
    <n v="0"/>
    <n v="1"/>
  </r>
  <r>
    <n v="20260179"/>
    <s v="2026-05-08"/>
    <s v="롯데"/>
    <s v="KIA"/>
    <n v="3001"/>
    <n v="2002"/>
    <n v="54.6"/>
    <n v="0.5459514557994651"/>
    <x v="3"/>
    <n v="0.5459514557994651"/>
    <x v="3"/>
    <x v="0"/>
    <n v="0.2980629920895553"/>
    <n v="0"/>
    <n v="0"/>
  </r>
  <r>
    <n v="20260180"/>
    <s v="2026-05-08"/>
    <s v="NC"/>
    <s v="삼성"/>
    <n v="11001"/>
    <n v="1001"/>
    <n v="12.49"/>
    <n v="0.1248703257666177"/>
    <x v="3"/>
    <n v="0.8751296742333823"/>
    <x v="0"/>
    <x v="1"/>
    <n v="0.7658519467238258"/>
    <n v="0"/>
    <n v="1"/>
  </r>
  <r>
    <n v="20260183"/>
    <s v="2026-05-09"/>
    <s v="한화"/>
    <s v="LG"/>
    <n v="7002"/>
    <n v="5002"/>
    <n v="57.31"/>
    <n v="0.5730774157812031"/>
    <x v="4"/>
    <n v="0.5730774157812031"/>
    <x v="4"/>
    <x v="0"/>
    <n v="0.1822628929160557"/>
    <n v="1"/>
    <n v="1"/>
  </r>
  <r>
    <n v="20260181"/>
    <s v="2026-05-09"/>
    <s v="두산"/>
    <s v="SSG"/>
    <n v="6002"/>
    <n v="9002"/>
    <n v="74.76000000000001"/>
    <n v="0.7475767287770502"/>
    <x v="4"/>
    <n v="0.7475767287770502"/>
    <x v="0"/>
    <x v="0"/>
    <n v="0.0637175078548949"/>
    <n v="1"/>
    <n v="1"/>
  </r>
  <r>
    <n v="20260182"/>
    <s v="2026-05-09"/>
    <s v="키움"/>
    <s v="KT"/>
    <n v="10001"/>
    <n v="12001"/>
    <n v="44.53"/>
    <n v="0.4452695564889879"/>
    <x v="4"/>
    <n v="0.5547304435110121"/>
    <x v="4"/>
    <x v="1"/>
    <s v=""/>
    <s v="draw"/>
    <s v=""/>
  </r>
  <r>
    <n v="20260184"/>
    <s v="2026-05-09"/>
    <s v="롯데"/>
    <s v="KIA"/>
    <n v="3001"/>
    <n v="2002"/>
    <n v="68.41"/>
    <n v="0.6841356129297628"/>
    <x v="4"/>
    <n v="0.6841356129297628"/>
    <x v="1"/>
    <x v="0"/>
    <n v="0.4680415368787822"/>
    <n v="0"/>
    <n v="0"/>
  </r>
  <r>
    <n v="20260185"/>
    <s v="2026-05-09"/>
    <s v="NC"/>
    <s v="삼성"/>
    <n v="11001"/>
    <n v="1001"/>
    <n v="29.31"/>
    <n v="0.2930659056459851"/>
    <x v="4"/>
    <n v="0.7069340943540149"/>
    <x v="0"/>
    <x v="1"/>
    <n v="0.4997558137601312"/>
    <n v="0"/>
    <n v="1"/>
  </r>
  <r>
    <n v="20260186"/>
    <s v="2026-05-10"/>
    <s v="두산"/>
    <s v="SSG"/>
    <n v="6002"/>
    <n v="9002"/>
    <n v="61.8"/>
    <n v="0.6180274879088768"/>
    <x v="3"/>
    <n v="0.6180274879088768"/>
    <x v="2"/>
    <x v="0"/>
    <n v="0.1459029999932032"/>
    <n v="1"/>
    <n v="1"/>
  </r>
  <r>
    <n v="20260187"/>
    <s v="2026-05-10"/>
    <s v="키움"/>
    <s v="KT"/>
    <n v="10001"/>
    <n v="12001"/>
    <n v="26.63"/>
    <n v="0.2662736548573697"/>
    <x v="3"/>
    <n v="0.7337263451426304"/>
    <x v="0"/>
    <x v="1"/>
    <n v="0.07090165927110162"/>
    <n v="1"/>
    <n v="0"/>
  </r>
  <r>
    <n v="20260188"/>
    <s v="2026-05-10"/>
    <s v="한화"/>
    <s v="LG"/>
    <n v="7002"/>
    <n v="5002"/>
    <n v="38.69"/>
    <n v="0.3868930022625142"/>
    <x v="3"/>
    <n v="0.6131069977374858"/>
    <x v="2"/>
    <x v="1"/>
    <n v="0.1496861951997018"/>
    <n v="1"/>
    <n v="0"/>
  </r>
  <r>
    <n v="20260189"/>
    <s v="2026-05-10"/>
    <s v="롯데"/>
    <s v="KIA"/>
    <n v="3001"/>
    <n v="2002"/>
    <n v="54.02"/>
    <n v="0.5402259102607809"/>
    <x v="3"/>
    <n v="0.5402259102607809"/>
    <x v="3"/>
    <x v="0"/>
    <n v="0.2113922135955275"/>
    <n v="1"/>
    <n v="1"/>
  </r>
  <r>
    <n v="20260190"/>
    <s v="2026-05-10"/>
    <s v="NC"/>
    <s v="삼성"/>
    <n v="11001"/>
    <n v="1001"/>
    <n v="19.79"/>
    <n v="0.1979181508787887"/>
    <x v="3"/>
    <n v="0.8020818491212113"/>
    <x v="0"/>
    <x v="1"/>
    <n v="0.6433352926897016"/>
    <n v="0"/>
    <n v="1"/>
  </r>
  <r>
    <n v="20260191"/>
    <s v="2026-05-12"/>
    <s v="LG"/>
    <s v="삼성"/>
    <n v="5002"/>
    <n v="1001"/>
    <n v="27.68"/>
    <n v="0.2768035218009341"/>
    <x v="3"/>
    <n v="0.7231964781990659"/>
    <x v="0"/>
    <x v="1"/>
    <n v="0.523013146079532"/>
    <n v="0"/>
    <n v="1"/>
  </r>
  <r>
    <n v="20260192"/>
    <s v="2026-05-12"/>
    <s v="키움"/>
    <s v="한화"/>
    <n v="10001"/>
    <n v="7002"/>
    <n v="23.9"/>
    <n v="0.2389945904564815"/>
    <x v="3"/>
    <n v="0.7610054095435185"/>
    <x v="0"/>
    <x v="1"/>
    <n v="0.5791292333544983"/>
    <n v="0"/>
    <n v="1"/>
  </r>
  <r>
    <n v="20260193"/>
    <s v="2026-05-12"/>
    <s v="KT"/>
    <s v="SSG"/>
    <n v="12001"/>
    <n v="9002"/>
    <n v="54.78"/>
    <n v="0.5477922038294649"/>
    <x v="3"/>
    <n v="0.5477922038294649"/>
    <x v="3"/>
    <x v="0"/>
    <n v="0.300076298576342"/>
    <n v="0"/>
    <n v="0"/>
  </r>
  <r>
    <n v="20260194"/>
    <s v="2026-05-12"/>
    <s v="KIA"/>
    <s v="두산"/>
    <n v="2002"/>
    <n v="6002"/>
    <n v="69.68000000000001"/>
    <n v="0.6968124137197284"/>
    <x v="3"/>
    <n v="0.6968124137197284"/>
    <x v="1"/>
    <x v="0"/>
    <n v="0.4855475399139139"/>
    <n v="0"/>
    <n v="0"/>
  </r>
  <r>
    <n v="20260195"/>
    <s v="2026-05-12"/>
    <s v="롯데"/>
    <s v="NC"/>
    <n v="3001"/>
    <n v="11001"/>
    <n v="66.65000000000001"/>
    <n v="0.6665128669305967"/>
    <x v="3"/>
    <n v="0.6665128669305967"/>
    <x v="1"/>
    <x v="0"/>
    <n v="0.4442394017840434"/>
    <n v="0"/>
    <n v="0"/>
  </r>
  <r>
    <n v="20260196"/>
    <s v="2026-05-13"/>
    <s v="LG"/>
    <s v="삼성"/>
    <n v="5002"/>
    <n v="1001"/>
    <n v="35.47"/>
    <n v="0.354738519591365"/>
    <x v="4"/>
    <n v="0.645261480408635"/>
    <x v="2"/>
    <x v="1"/>
    <n v="0.1258394172818733"/>
    <n v="1"/>
    <n v="0"/>
  </r>
  <r>
    <n v="20260197"/>
    <s v="2026-05-13"/>
    <s v="키움"/>
    <s v="한화"/>
    <n v="10001"/>
    <n v="7002"/>
    <n v="52.26"/>
    <n v="0.5225991968416961"/>
    <x v="4"/>
    <n v="0.5225991968416961"/>
    <x v="3"/>
    <x v="0"/>
    <n v="0.2279115268561936"/>
    <n v="1"/>
    <n v="1"/>
  </r>
  <r>
    <n v="20260198"/>
    <s v="2026-05-13"/>
    <s v="KT"/>
    <s v="SSG"/>
    <n v="12001"/>
    <n v="9002"/>
    <n v="66.81999999999999"/>
    <n v="0.6681551578999807"/>
    <x v="4"/>
    <n v="0.6681551578999807"/>
    <x v="1"/>
    <x v="0"/>
    <n v="0.1101209992283867"/>
    <n v="1"/>
    <n v="1"/>
  </r>
  <r>
    <n v="20260199"/>
    <s v="2026-05-13"/>
    <s v="KIA"/>
    <s v="두산"/>
    <n v="2002"/>
    <n v="6002"/>
    <n v="20.28"/>
    <n v="0.2028255799409134"/>
    <x v="4"/>
    <n v="0.7971744200590866"/>
    <x v="0"/>
    <x v="1"/>
    <n v="0.04113821587836787"/>
    <n v="1"/>
    <n v="0"/>
  </r>
  <r>
    <n v="20260200"/>
    <s v="2026-05-13"/>
    <s v="롯데"/>
    <s v="NC"/>
    <n v="3001"/>
    <n v="11001"/>
    <n v="69.78"/>
    <n v="0.6977748647329215"/>
    <x v="4"/>
    <n v="0.6977748647329215"/>
    <x v="1"/>
    <x v="0"/>
    <n v="0.0913400323872039"/>
    <n v="1"/>
    <n v="1"/>
  </r>
  <r>
    <n v="20260201"/>
    <s v="2026-05-14"/>
    <s v="LG"/>
    <s v="삼성"/>
    <n v="5002"/>
    <n v="1001"/>
    <n v="37.72"/>
    <n v="0.3772108581968189"/>
    <x v="3"/>
    <n v="0.6227891418031811"/>
    <x v="2"/>
    <x v="1"/>
    <n v="0.3878663151479428"/>
    <n v="0"/>
    <n v="1"/>
  </r>
  <r>
    <n v="20260202"/>
    <s v="2026-05-14"/>
    <s v="키움"/>
    <s v="한화"/>
    <n v="10001"/>
    <n v="7002"/>
    <n v="42.7"/>
    <n v="0.4270204579887192"/>
    <x v="3"/>
    <n v="0.5729795420112809"/>
    <x v="4"/>
    <x v="1"/>
    <n v="0.3283055555634572"/>
    <n v="0"/>
    <n v="1"/>
  </r>
  <r>
    <n v="20260203"/>
    <s v="2026-05-14"/>
    <s v="KT"/>
    <s v="SSG"/>
    <n v="12001"/>
    <n v="9002"/>
    <n v="63.06"/>
    <n v="0.6305700596707641"/>
    <x v="3"/>
    <n v="0.6305700596707641"/>
    <x v="2"/>
    <x v="0"/>
    <n v="0.3976186001531909"/>
    <n v="0"/>
    <n v="0"/>
  </r>
  <r>
    <n v="20260204"/>
    <s v="2026-05-14"/>
    <s v="KIA"/>
    <s v="두산"/>
    <n v="2002"/>
    <n v="6002"/>
    <n v="39.63"/>
    <n v="0.3963160945950911"/>
    <x v="3"/>
    <n v="0.6036839054049089"/>
    <x v="2"/>
    <x v="1"/>
    <n v="0.1570664468351052"/>
    <n v="1"/>
    <n v="0"/>
  </r>
  <r>
    <n v="20260205"/>
    <s v="2026-05-14"/>
    <s v="롯데"/>
    <s v="NC"/>
    <n v="3001"/>
    <n v="11001"/>
    <n v="43.45"/>
    <n v="0.4344763523320166"/>
    <x v="3"/>
    <n v="0.5655236476679835"/>
    <x v="4"/>
    <x v="1"/>
    <n v="0.3198169960717015"/>
    <n v="0"/>
    <n v="1"/>
  </r>
  <r>
    <n v="20260206"/>
    <s v="2026-05-15"/>
    <s v="두산"/>
    <s v="롯데"/>
    <n v="6002"/>
    <n v="3001"/>
    <n v="51.65"/>
    <n v="0.5165330541508711"/>
    <x v="4"/>
    <n v="0.5165330541508711"/>
    <x v="3"/>
    <x v="0"/>
    <n v="0.2668063960304268"/>
    <n v="0"/>
    <n v="0"/>
  </r>
  <r>
    <n v="20260207"/>
    <s v="2026-05-15"/>
    <s v="SSG"/>
    <s v="LG"/>
    <n v="9002"/>
    <n v="5002"/>
    <n v="10.28"/>
    <n v="0.1028356045602769"/>
    <x v="4"/>
    <n v="0.897164395439723"/>
    <x v="0"/>
    <x v="1"/>
    <n v="0.8049039524447237"/>
    <n v="0"/>
    <n v="1"/>
  </r>
  <r>
    <n v="20260208"/>
    <s v="2026-05-15"/>
    <s v="KT"/>
    <s v="한화"/>
    <n v="12001"/>
    <n v="7002"/>
    <n v="47.53"/>
    <n v="0.4752857544626855"/>
    <x v="4"/>
    <n v="0.5247142455373145"/>
    <x v="3"/>
    <x v="1"/>
    <n v="0.2753250394697931"/>
    <n v="0"/>
    <n v="1"/>
  </r>
  <r>
    <n v="20260209"/>
    <s v="2026-05-15"/>
    <s v="삼성"/>
    <s v="KIA"/>
    <n v="1001"/>
    <n v="2002"/>
    <n v="54.48"/>
    <n v="0.5448111809903715"/>
    <x v="4"/>
    <n v="0.5448111809903715"/>
    <x v="3"/>
    <x v="0"/>
    <n v="0.2968192229321234"/>
    <n v="0"/>
    <n v="0"/>
  </r>
  <r>
    <n v="20260210"/>
    <s v="2026-05-15"/>
    <s v="NC"/>
    <s v="키움"/>
    <n v="11001"/>
    <n v="10001"/>
    <n v="32.65"/>
    <n v="0.3265168192275489"/>
    <x v="4"/>
    <n v="0.6734831807724511"/>
    <x v="1"/>
    <x v="1"/>
    <n v="0.453579594783378"/>
    <n v="0"/>
    <n v="1"/>
  </r>
  <r>
    <n v="20260213"/>
    <s v="2026-05-16"/>
    <s v="KT"/>
    <s v="한화"/>
    <n v="12001"/>
    <n v="7002"/>
    <n v="67.27"/>
    <n v="0.6727473223975902"/>
    <x v="4"/>
    <n v="0.6727473223975902"/>
    <x v="1"/>
    <x v="0"/>
    <n v="0.4525889597931271"/>
    <n v="0"/>
    <n v="0"/>
  </r>
  <r>
    <n v="20260211"/>
    <s v="2026-05-16"/>
    <s v="두산"/>
    <s v="롯데"/>
    <n v="6002"/>
    <n v="3001"/>
    <n v="60.27"/>
    <n v="0.6026720173531367"/>
    <x v="4"/>
    <n v="0.6026720173531367"/>
    <x v="2"/>
    <x v="0"/>
    <n v="0.1578695257942261"/>
    <n v="1"/>
    <n v="1"/>
  </r>
  <r>
    <n v="20260212"/>
    <s v="2026-05-16"/>
    <s v="SSG"/>
    <s v="LG"/>
    <n v="9002"/>
    <n v="5002"/>
    <n v="58.79"/>
    <n v="0.5878583530205586"/>
    <x v="4"/>
    <n v="0.5878583530205586"/>
    <x v="4"/>
    <x v="0"/>
    <n v="0.1698607371749265"/>
    <n v="1"/>
    <n v="1"/>
  </r>
  <r>
    <n v="20260214"/>
    <s v="2026-05-16"/>
    <s v="삼성"/>
    <s v="KIA"/>
    <n v="1001"/>
    <n v="2002"/>
    <n v="72.11"/>
    <n v="0.7211088078686466"/>
    <x v="4"/>
    <n v="0.7211088078686466"/>
    <x v="0"/>
    <x v="0"/>
    <n v="0.07778029704844747"/>
    <n v="1"/>
    <n v="1"/>
  </r>
  <r>
    <n v="20260215"/>
    <s v="2026-05-16"/>
    <s v="NC"/>
    <s v="키움"/>
    <n v="11001"/>
    <n v="10001"/>
    <n v="41.03"/>
    <n v="0.4103273073274463"/>
    <x v="4"/>
    <n v="0.5896726926725537"/>
    <x v="4"/>
    <x v="1"/>
    <n v="0.1683684991385925"/>
    <n v="1"/>
    <n v="0"/>
  </r>
  <r>
    <n v="20260216"/>
    <s v="2026-05-17"/>
    <s v="두산"/>
    <s v="롯데"/>
    <n v="6002"/>
    <n v="3001"/>
    <n v="46.67"/>
    <n v="0.4666588753968506"/>
    <x v="4"/>
    <n v="0.5333411246031494"/>
    <x v="3"/>
    <x v="1"/>
    <n v="0.2177705059866533"/>
    <n v="1"/>
    <n v="0"/>
  </r>
  <r>
    <n v="20260217"/>
    <s v="2026-05-17"/>
    <s v="SSG"/>
    <s v="LG"/>
    <n v="9002"/>
    <n v="5002"/>
    <n v="50.49"/>
    <n v="0.5048964467932884"/>
    <x v="4"/>
    <n v="0.5048964467932884"/>
    <x v="3"/>
    <x v="0"/>
    <n v="0.2549204219844879"/>
    <n v="0"/>
    <n v="0"/>
  </r>
  <r>
    <n v="20260218"/>
    <s v="2026-05-17"/>
    <s v="KT"/>
    <s v="한화"/>
    <n v="12001"/>
    <n v="7002"/>
    <n v="28.02"/>
    <n v="0.2801555148717317"/>
    <x v="4"/>
    <n v="0.7198444851282684"/>
    <x v="0"/>
    <x v="1"/>
    <n v="0.07848711251304503"/>
    <n v="1"/>
    <n v="0"/>
  </r>
  <r>
    <n v="20260219"/>
    <s v="2026-05-17"/>
    <s v="삼성"/>
    <s v="KIA"/>
    <n v="1001"/>
    <n v="2002"/>
    <n v="73.64"/>
    <n v="0.7364455934400748"/>
    <x v="4"/>
    <n v="0.7364455934400748"/>
    <x v="0"/>
    <x v="0"/>
    <n v="0.5423521120973039"/>
    <n v="0"/>
    <n v="0"/>
  </r>
  <r>
    <n v="20260220"/>
    <s v="2026-05-17"/>
    <s v="NC"/>
    <s v="키움"/>
    <n v="11001"/>
    <n v="10001"/>
    <n v="56.37"/>
    <n v="0.5636808485837504"/>
    <x v="4"/>
    <n v="0.5636808485837504"/>
    <x v="4"/>
    <x v="0"/>
    <n v="0.317736099060097"/>
    <n v="0"/>
    <n v="0"/>
  </r>
  <r>
    <n v="20260221"/>
    <s v="2026-05-19"/>
    <s v="두산"/>
    <s v="NC"/>
    <n v="6002"/>
    <n v="11001"/>
    <n v="64.54000000000001"/>
    <n v="0.6454187932571784"/>
    <x v="5"/>
    <n v="0.6454187932571784"/>
    <x v="2"/>
    <x v="0"/>
    <n v="0.1257278321751956"/>
    <n v="1"/>
    <n v="1"/>
  </r>
  <r>
    <n v="20260222"/>
    <s v="2026-05-19"/>
    <s v="키움"/>
    <s v="SSG"/>
    <n v="10001"/>
    <n v="9002"/>
    <n v="69.17"/>
    <n v="0.6916602638986075"/>
    <x v="5"/>
    <n v="0.6916602638986075"/>
    <x v="1"/>
    <x v="0"/>
    <n v="0.09507339285907639"/>
    <n v="1"/>
    <n v="1"/>
  </r>
  <r>
    <n v="20260223"/>
    <s v="2026-05-19"/>
    <s v="한화"/>
    <s v="롯데"/>
    <n v="7002"/>
    <n v="3001"/>
    <n v="47.15"/>
    <n v="0.471502791842707"/>
    <x v="5"/>
    <n v="0.528497208157293"/>
    <x v="3"/>
    <x v="1"/>
    <n v="0.279309299030053"/>
    <n v="0"/>
    <n v="1"/>
  </r>
  <r>
    <n v="20260224"/>
    <s v="2026-05-19"/>
    <s v="삼성"/>
    <s v="KT"/>
    <n v="1001"/>
    <n v="12001"/>
    <n v="47.87"/>
    <n v="0.4787123419364039"/>
    <x v="5"/>
    <n v="0.5212876580635961"/>
    <x v="3"/>
    <x v="1"/>
    <n v="0.2291655063222365"/>
    <n v="1"/>
    <n v="0"/>
  </r>
  <r>
    <n v="20260225"/>
    <s v="2026-05-19"/>
    <s v="KIA"/>
    <s v="LG"/>
    <n v="2002"/>
    <n v="5002"/>
    <n v="55.82"/>
    <n v="0.5582253012029273"/>
    <x v="5"/>
    <n v="0.5582253012029273"/>
    <x v="4"/>
    <x v="0"/>
    <n v="0.1951648844972443"/>
    <n v="1"/>
    <n v="1"/>
  </r>
  <r>
    <n v="20260226"/>
    <s v="2026-05-20"/>
    <s v="두산"/>
    <s v="NC"/>
    <n v="6002"/>
    <n v="11001"/>
    <n v="63.31"/>
    <n v="0.6331490018672228"/>
    <x v="5"/>
    <n v="0.6331490018672228"/>
    <x v="2"/>
    <x v="0"/>
    <s v=""/>
    <s v="cancel"/>
    <s v=""/>
  </r>
  <r>
    <n v="20260227"/>
    <s v="2026-05-20"/>
    <s v="키움"/>
    <s v="SSG"/>
    <n v="10001"/>
    <n v="9002"/>
    <n v="56.84"/>
    <n v="0.5683537592801126"/>
    <x v="5"/>
    <n v="0.5683537592801126"/>
    <x v="4"/>
    <x v="0"/>
    <n v="0.186318477127611"/>
    <n v="1"/>
    <n v="1"/>
  </r>
  <r>
    <n v="20260228"/>
    <s v="2026-05-20"/>
    <s v="한화"/>
    <s v="롯데"/>
    <n v="7002"/>
    <n v="3001"/>
    <n v="50.47"/>
    <n v="0.504656170161356"/>
    <x v="5"/>
    <n v="0.504656170161356"/>
    <x v="3"/>
    <x v="0"/>
    <s v=""/>
    <s v="cancel"/>
    <s v=""/>
  </r>
  <r>
    <n v="20260229"/>
    <s v="2026-05-20"/>
    <s v="삼성"/>
    <s v="KT"/>
    <n v="1001"/>
    <n v="12001"/>
    <n v="42.89"/>
    <n v="0.4288599379023278"/>
    <x v="5"/>
    <n v="0.5711400620976722"/>
    <x v="4"/>
    <x v="1"/>
    <s v=""/>
    <s v="cancel"/>
    <s v=""/>
  </r>
  <r>
    <n v="20260230"/>
    <s v="2026-05-20"/>
    <s v="KIA"/>
    <s v="LG"/>
    <n v="2002"/>
    <n v="5002"/>
    <n v="43.01"/>
    <n v="0.430088234623321"/>
    <x v="5"/>
    <n v="0.569911765376679"/>
    <x v="4"/>
    <x v="1"/>
    <s v=""/>
    <s v="cancel"/>
    <s v=""/>
  </r>
  <r>
    <n v="20260231"/>
    <s v="2026-05-21"/>
    <s v="두산"/>
    <s v="NC"/>
    <n v="6002"/>
    <n v="11001"/>
    <n v="63.31"/>
    <n v="0.633149786358988"/>
    <x v="5"/>
    <n v="0.633149786358988"/>
    <x v="2"/>
    <x v="0"/>
    <n v="0.1345790792484561"/>
    <n v="1"/>
    <n v="1"/>
  </r>
  <r>
    <n v="20260232"/>
    <s v="2026-05-21"/>
    <s v="키움"/>
    <s v="SSG"/>
    <n v="10001"/>
    <n v="9002"/>
    <n v="75.73999999999999"/>
    <n v="0.7574052619681708"/>
    <x v="5"/>
    <n v="0.7574052619681708"/>
    <x v="0"/>
    <x v="0"/>
    <n v="0.05885220692073183"/>
    <n v="1"/>
    <n v="1"/>
  </r>
  <r>
    <n v="20260233"/>
    <s v="2026-05-21"/>
    <s v="한화"/>
    <s v="롯데"/>
    <n v="7002"/>
    <n v="3001"/>
    <n v="50.47"/>
    <n v="0.5046553258642419"/>
    <x v="5"/>
    <n v="0.5046553258642419"/>
    <x v="3"/>
    <x v="0"/>
    <n v="0.2546769979231442"/>
    <n v="0"/>
    <n v="0"/>
  </r>
  <r>
    <n v="20260234"/>
    <s v="2026-05-21"/>
    <s v="삼성"/>
    <s v="KT"/>
    <n v="1001"/>
    <n v="12001"/>
    <n v="49.92"/>
    <n v="0.4992232070098261"/>
    <x v="5"/>
    <n v="0.5007767929901739"/>
    <x v="3"/>
    <x v="1"/>
    <n v="0.2492238104171757"/>
    <n v="1"/>
    <n v="0"/>
  </r>
  <r>
    <n v="20260235"/>
    <s v="2026-05-21"/>
    <s v="KIA"/>
    <s v="LG"/>
    <n v="2002"/>
    <n v="5002"/>
    <n v="58.24"/>
    <n v="0.582413640211582"/>
    <x v="5"/>
    <n v="0.582413640211582"/>
    <x v="4"/>
    <x v="0"/>
    <n v="0.3392056483045061"/>
    <n v="0"/>
    <n v="0"/>
  </r>
  <r>
    <n v="20260236"/>
    <s v="2026-05-22"/>
    <s v="LG"/>
    <s v="키움"/>
    <n v="5002"/>
    <n v="10001"/>
    <n v="46.22"/>
    <n v="0.4621925024641946"/>
    <x v="5"/>
    <n v="0.5378074975358054"/>
    <x v="3"/>
    <x v="1"/>
    <n v="0.2892369044057253"/>
    <n v="0"/>
    <n v="1"/>
  </r>
  <r>
    <n v="20260237"/>
    <s v="2026-05-22"/>
    <s v="KT"/>
    <s v="NC"/>
    <n v="12001"/>
    <n v="11001"/>
    <n v="36.63"/>
    <n v="0.3662582387045195"/>
    <x v="5"/>
    <n v="0.6337417612954805"/>
    <x v="2"/>
    <x v="1"/>
    <n v="0.1341450974189368"/>
    <n v="1"/>
    <n v="0"/>
  </r>
  <r>
    <n v="20260238"/>
    <s v="2026-05-22"/>
    <s v="한화"/>
    <s v="두산"/>
    <n v="7002"/>
    <n v="6002"/>
    <n v="45.68"/>
    <n v="0.4568436069799178"/>
    <x v="5"/>
    <n v="0.5431563930200822"/>
    <x v="3"/>
    <x v="1"/>
    <n v="0.2087060812384216"/>
    <n v="1"/>
    <n v="0"/>
  </r>
  <r>
    <n v="20260239"/>
    <s v="2026-05-22"/>
    <s v="KIA"/>
    <s v="SSG"/>
    <n v="2002"/>
    <n v="9002"/>
    <n v="51.29"/>
    <n v="0.5128556736512051"/>
    <x v="5"/>
    <n v="0.5128556736512051"/>
    <x v="3"/>
    <x v="0"/>
    <n v="0.2373095946938212"/>
    <n v="1"/>
    <n v="1"/>
  </r>
  <r>
    <n v="20260240"/>
    <s v="2026-05-22"/>
    <s v="롯데"/>
    <s v="삼성"/>
    <n v="3001"/>
    <n v="1001"/>
    <n v="46.47"/>
    <n v="0.4646808249743677"/>
    <x v="5"/>
    <n v="0.5353191750256323"/>
    <x v="3"/>
    <x v="1"/>
    <n v="0.2865666191501235"/>
    <n v="0"/>
    <n v="1"/>
  </r>
  <r>
    <n v="20260241"/>
    <s v="2026-05-23"/>
    <s v="LG"/>
    <s v="키움"/>
    <n v="5002"/>
    <n v="10001"/>
    <n v="43.37"/>
    <n v="0.4336731819442711"/>
    <x v="5"/>
    <n v="0.5663268180557288"/>
    <x v="4"/>
    <x v="1"/>
    <n v="0.1880724287376689"/>
    <n v="1"/>
    <n v="0"/>
  </r>
  <r>
    <n v="20260242"/>
    <s v="2026-05-23"/>
    <s v="KT"/>
    <s v="NC"/>
    <n v="12001"/>
    <n v="11001"/>
    <n v="46.58"/>
    <n v="0.4657601558769209"/>
    <x v="5"/>
    <n v="0.5342398441230791"/>
    <x v="3"/>
    <x v="1"/>
    <n v="0.2169325228024936"/>
    <n v="1"/>
    <n v="0"/>
  </r>
  <r>
    <n v="20260243"/>
    <s v="2026-05-23"/>
    <s v="한화"/>
    <s v="두산"/>
    <n v="7002"/>
    <n v="6002"/>
    <n v="52.76"/>
    <n v="0.5276204079704331"/>
    <x v="5"/>
    <n v="0.5276204079704331"/>
    <x v="3"/>
    <x v="0"/>
    <n v="0.2231424789660201"/>
    <n v="1"/>
    <n v="1"/>
  </r>
  <r>
    <n v="20260244"/>
    <s v="2026-05-23"/>
    <s v="KIA"/>
    <s v="SSG"/>
    <n v="2002"/>
    <n v="9002"/>
    <n v="51.48"/>
    <n v="0.5148380837810158"/>
    <x v="5"/>
    <n v="0.5148380837810158"/>
    <x v="3"/>
    <x v="0"/>
    <n v="0.2353820849492766"/>
    <n v="1"/>
    <n v="1"/>
  </r>
  <r>
    <n v="20260245"/>
    <s v="2026-05-23"/>
    <s v="롯데"/>
    <s v="삼성"/>
    <n v="3001"/>
    <n v="1001"/>
    <n v="43.71"/>
    <n v="0.4371442096479888"/>
    <x v="5"/>
    <n v="0.5628557903520113"/>
    <x v="4"/>
    <x v="1"/>
    <n v="0.1910950600287647"/>
    <n v="1"/>
    <n v="0"/>
  </r>
  <r>
    <n v="20260246"/>
    <s v="2026-05-24"/>
    <s v="LG"/>
    <s v="키움"/>
    <n v="5002"/>
    <n v="10001"/>
    <n v="38.38"/>
    <n v="0.3837833489049133"/>
    <x v="5"/>
    <n v="0.6162166510950867"/>
    <x v="2"/>
    <x v="1"/>
    <n v="0.1472896588966704"/>
    <n v="1"/>
    <n v="0"/>
  </r>
  <r>
    <n v="20260247"/>
    <s v="2026-05-24"/>
    <s v="KT"/>
    <s v="NC"/>
    <n v="12001"/>
    <n v="11001"/>
    <n v="44.14"/>
    <n v="0.4414429192658343"/>
    <x v="5"/>
    <n v="0.5585570807341658"/>
    <x v="4"/>
    <x v="1"/>
    <n v="0.3119860124382734"/>
    <n v="0"/>
    <n v="1"/>
  </r>
  <r>
    <n v="20260248"/>
    <s v="2026-05-24"/>
    <s v="한화"/>
    <s v="두산"/>
    <n v="7002"/>
    <n v="6002"/>
    <n v="58.62"/>
    <n v="0.5861949647266"/>
    <x v="5"/>
    <n v="0.5861949647266"/>
    <x v="4"/>
    <x v="0"/>
    <n v="0.1712346072176198"/>
    <n v="1"/>
    <n v="1"/>
  </r>
  <r>
    <n v="20260249"/>
    <s v="2026-05-24"/>
    <s v="KIA"/>
    <s v="SSG"/>
    <n v="2002"/>
    <n v="9002"/>
    <n v="76.31999999999999"/>
    <n v="0.7631603519578757"/>
    <x v="5"/>
    <n v="0.7631603519578757"/>
    <x v="0"/>
    <x v="0"/>
    <n v="0.05609301888471732"/>
    <n v="1"/>
    <n v="1"/>
  </r>
  <r>
    <n v="20260250"/>
    <s v="2026-05-24"/>
    <s v="롯데"/>
    <s v="삼성"/>
    <n v="3001"/>
    <n v="1001"/>
    <n v="50.72"/>
    <n v="0.5072443902690881"/>
    <x v="5"/>
    <n v="0.5072443902690881"/>
    <x v="3"/>
    <x v="0"/>
    <n v="0.257296871459459"/>
    <n v="0"/>
    <n v="0"/>
  </r>
  <r>
    <n v="20260251"/>
    <s v="2026-05-26"/>
    <s v="두산"/>
    <s v="KT"/>
    <n v="6002"/>
    <n v="12001"/>
    <n v="57"/>
    <n v="0.5700060191523875"/>
    <x v="5"/>
    <n v="0.5700060191523875"/>
    <x v="4"/>
    <x v="0"/>
    <n v="0.3249068618699519"/>
    <n v="0"/>
    <n v="0"/>
  </r>
  <r>
    <n v="20260252"/>
    <s v="2026-05-26"/>
    <s v="키움"/>
    <s v="KIA"/>
    <n v="10001"/>
    <n v="2002"/>
    <n v="83.2"/>
    <n v="0.8319906696089847"/>
    <x v="5"/>
    <n v="0.8319906696089847"/>
    <x v="0"/>
    <x v="0"/>
    <n v="0.6922084743164068"/>
    <n v="0"/>
    <n v="0"/>
  </r>
  <r>
    <n v="20260253"/>
    <s v="2026-05-26"/>
    <s v="SSG"/>
    <s v="삼성"/>
    <n v="9002"/>
    <n v="1001"/>
    <n v="30.97"/>
    <n v="0.3096860741230513"/>
    <x v="5"/>
    <n v="0.6903139258769486"/>
    <x v="1"/>
    <x v="1"/>
    <s v=""/>
    <s v="cancel"/>
    <s v=""/>
  </r>
  <r>
    <n v="20260254"/>
    <s v="2026-05-26"/>
    <s v="롯데"/>
    <s v="LG"/>
    <n v="3001"/>
    <n v="5002"/>
    <n v="53.44"/>
    <n v="0.5344126973283649"/>
    <x v="5"/>
    <n v="0.5344126973283649"/>
    <x v="3"/>
    <x v="0"/>
    <n v="0.2855969310657786"/>
    <n v="0"/>
    <n v="0"/>
  </r>
  <r>
    <n v="20260255"/>
    <s v="2026-05-26"/>
    <s v="NC"/>
    <s v="한화"/>
    <n v="11001"/>
    <n v="7002"/>
    <n v="42.96"/>
    <n v="0.4295792783876461"/>
    <x v="5"/>
    <n v="0.5704207216123539"/>
    <x v="4"/>
    <x v="1"/>
    <s v=""/>
    <s v="cancel"/>
    <s v=""/>
  </r>
  <r>
    <n v="20260256"/>
    <s v="2026-05-27"/>
    <s v="두산"/>
    <s v="KT"/>
    <n v="6002"/>
    <n v="12001"/>
    <n v="42.24"/>
    <n v="0.4223976108953089"/>
    <x v="6"/>
    <n v="0.5776023891046911"/>
    <x v="4"/>
    <x v="1"/>
    <n v="0.1784197416900648"/>
    <n v="1"/>
    <n v="0"/>
  </r>
  <r>
    <n v="20260257"/>
    <s v="2026-05-27"/>
    <s v="키움"/>
    <s v="KIA"/>
    <n v="10001"/>
    <n v="2002"/>
    <n v="38.1"/>
    <n v="0.3809652290735916"/>
    <x v="6"/>
    <n v="0.6190347709264084"/>
    <x v="2"/>
    <x v="1"/>
    <n v="0.3832040476159109"/>
    <n v="0"/>
    <n v="1"/>
  </r>
  <r>
    <n v="20260258"/>
    <s v="2026-05-27"/>
    <s v="SSG"/>
    <s v="삼성"/>
    <n v="9002"/>
    <n v="1001"/>
    <n v="20.74"/>
    <n v="0.2073629709937675"/>
    <x v="6"/>
    <n v="0.7926370290062326"/>
    <x v="0"/>
    <x v="1"/>
    <n v="0.6282734597518271"/>
    <n v="0"/>
    <n v="1"/>
  </r>
  <r>
    <n v="20260259"/>
    <s v="2026-05-27"/>
    <s v="롯데"/>
    <s v="LG"/>
    <n v="3001"/>
    <n v="5002"/>
    <n v="59.92"/>
    <n v="0.599181647865501"/>
    <x v="6"/>
    <n v="0.599181647865501"/>
    <x v="4"/>
    <x v="0"/>
    <n v="0.3590186471388172"/>
    <n v="0"/>
    <n v="0"/>
  </r>
  <r>
    <n v="20260260"/>
    <s v="2026-05-27"/>
    <s v="NC"/>
    <s v="한화"/>
    <n v="11001"/>
    <n v="7002"/>
    <n v="44.41"/>
    <n v="0.4440588662255105"/>
    <x v="6"/>
    <n v="0.5559411337744895"/>
    <x v="4"/>
    <x v="1"/>
    <n v="0.1971882766734858"/>
    <n v="1"/>
    <n v="0"/>
  </r>
  <r>
    <n v="20260261"/>
    <s v="2026-05-28"/>
    <s v="두산"/>
    <s v="KT"/>
    <n v="6002"/>
    <n v="12001"/>
    <n v="57.79"/>
    <n v="0.5778839309521245"/>
    <x v="5"/>
    <n v="0.5778839309521245"/>
    <x v="4"/>
    <x v="0"/>
    <n v="0.3339498376526798"/>
    <n v="0"/>
    <n v="0"/>
  </r>
  <r>
    <n v="20260262"/>
    <s v="2026-05-28"/>
    <s v="키움"/>
    <s v="KIA"/>
    <n v="10001"/>
    <n v="2002"/>
    <n v="70.2"/>
    <n v="0.7020440646037398"/>
    <x v="5"/>
    <n v="0.7020440646037398"/>
    <x v="0"/>
    <x v="0"/>
    <n v="0.49286586864534"/>
    <n v="0"/>
    <n v="0"/>
  </r>
  <r>
    <n v="20260263"/>
    <s v="2026-05-28"/>
    <s v="SSG"/>
    <s v="삼성"/>
    <n v="9002"/>
    <n v="1001"/>
    <n v="29.39"/>
    <n v="0.2938859123665157"/>
    <x v="5"/>
    <n v="0.7061140876334844"/>
    <x v="0"/>
    <x v="1"/>
    <n v="0.4985971047544681"/>
    <n v="0"/>
    <n v="1"/>
  </r>
  <r>
    <n v="20260264"/>
    <s v="2026-05-28"/>
    <s v="롯데"/>
    <s v="LG"/>
    <n v="3001"/>
    <n v="5002"/>
    <n v="58.42"/>
    <n v="0.5841732462870592"/>
    <x v="5"/>
    <n v="0.5841732462870592"/>
    <x v="4"/>
    <x v="0"/>
    <n v="0.1729118891034427"/>
    <n v="1"/>
    <n v="1"/>
  </r>
  <r>
    <n v="20260265"/>
    <s v="2026-05-28"/>
    <s v="NC"/>
    <s v="한화"/>
    <n v="11001"/>
    <n v="7002"/>
    <n v="48.92"/>
    <n v="0.4891740538322265"/>
    <x v="5"/>
    <n v="0.5108259461677735"/>
    <x v="3"/>
    <x v="1"/>
    <n v="0.2609431472782011"/>
    <n v="0"/>
    <n v="1"/>
  </r>
  <r>
    <n v="20260266"/>
    <s v="2026-05-29"/>
    <s v="LG"/>
    <s v="KIA"/>
    <n v="5002"/>
    <n v="2002"/>
    <n v="67.45999999999999"/>
    <n v="0.6746390316024382"/>
    <x v="5"/>
    <n v="0.6746390316024382"/>
    <x v="1"/>
    <x v="0"/>
    <n v="0.1058597597565992"/>
    <n v="1"/>
    <n v="1"/>
  </r>
  <r>
    <n v="20260267"/>
    <s v="2026-05-29"/>
    <s v="키움"/>
    <s v="KT"/>
    <n v="10001"/>
    <n v="12001"/>
    <n v="53.45"/>
    <n v="0.5345372148707886"/>
    <x v="5"/>
    <n v="0.5345372148707886"/>
    <x v="3"/>
    <x v="0"/>
    <n v="0.2857300340818197"/>
    <n v="0"/>
    <n v="0"/>
  </r>
  <r>
    <n v="20260268"/>
    <s v="2026-05-29"/>
    <s v="한화"/>
    <s v="SSG"/>
    <n v="7002"/>
    <n v="9002"/>
    <n v="61.71"/>
    <n v="0.6170621323471513"/>
    <x v="5"/>
    <n v="0.6170621323471513"/>
    <x v="2"/>
    <x v="0"/>
    <n v="0.1466414104825106"/>
    <n v="1"/>
    <n v="1"/>
  </r>
  <r>
    <n v="20260269"/>
    <s v="2026-05-29"/>
    <s v="삼성"/>
    <s v="두산"/>
    <n v="1001"/>
    <n v="6002"/>
    <n v="52.19"/>
    <n v="0.5219307249803196"/>
    <x v="5"/>
    <n v="0.5219307249803196"/>
    <x v="3"/>
    <x v="0"/>
    <n v="0.272411681678482"/>
    <n v="0"/>
    <n v="0"/>
  </r>
  <r>
    <n v="20260270"/>
    <s v="2026-05-29"/>
    <s v="NC"/>
    <s v="롯데"/>
    <n v="11001"/>
    <n v="3001"/>
    <n v="52.48"/>
    <n v="0.52480278940696"/>
    <x v="5"/>
    <n v="0.52480278940696"/>
    <x v="3"/>
    <x v="0"/>
    <n v="0.275417967769326"/>
    <n v="0"/>
    <n v="0"/>
  </r>
  <r>
    <n v="20260274"/>
    <s v="2026-05-30"/>
    <s v="삼성"/>
    <s v="두산"/>
    <n v="1001"/>
    <n v="6002"/>
    <n v="60.22"/>
    <n v="0.6021972614238584"/>
    <x v="5"/>
    <n v="0.6021972614238584"/>
    <x v="2"/>
    <x v="0"/>
    <n v="0.3626415416663949"/>
    <n v="0"/>
    <n v="0"/>
  </r>
  <r>
    <n v="20260271"/>
    <s v="2026-05-30"/>
    <s v="LG"/>
    <s v="KIA"/>
    <n v="5002"/>
    <n v="2002"/>
    <n v="32.7"/>
    <n v="0.3270455046355627"/>
    <x v="5"/>
    <n v="0.6729544953644373"/>
    <x v="1"/>
    <x v="1"/>
    <n v="0.1069587621023299"/>
    <n v="1"/>
    <n v="0"/>
  </r>
  <r>
    <n v="20260272"/>
    <s v="2026-05-30"/>
    <s v="키움"/>
    <s v="KT"/>
    <n v="10001"/>
    <n v="12001"/>
    <n v="100"/>
    <n v="1"/>
    <x v="5"/>
    <n v="1"/>
    <x v="0"/>
    <x v="0"/>
    <n v="1"/>
    <n v="0"/>
    <n v="0"/>
  </r>
  <r>
    <n v="20260273"/>
    <s v="2026-05-30"/>
    <s v="한화"/>
    <s v="SSG"/>
    <n v="7002"/>
    <n v="9002"/>
    <n v="65.03"/>
    <n v="0.6503258002366246"/>
    <x v="5"/>
    <n v="0.6503258002366246"/>
    <x v="1"/>
    <x v="0"/>
    <n v="0.122272045980157"/>
    <n v="1"/>
    <n v="1"/>
  </r>
  <r>
    <n v="20260275"/>
    <s v="2026-05-30"/>
    <s v="NC"/>
    <s v="롯데"/>
    <n v="11001"/>
    <n v="3001"/>
    <n v="78.66"/>
    <n v="0.7866322427405555"/>
    <x v="5"/>
    <n v="0.7866322427405555"/>
    <x v="0"/>
    <x v="0"/>
    <n v="0.04552579983792521"/>
    <n v="1"/>
    <n v="1"/>
  </r>
  <r>
    <n v="20260276"/>
    <s v="2026-05-31"/>
    <s v="LG"/>
    <s v="KIA"/>
    <n v="5002"/>
    <n v="2002"/>
    <n v="54.51"/>
    <n v="0.5451428396387865"/>
    <x v="5"/>
    <n v="0.5451428396387865"/>
    <x v="3"/>
    <x v="0"/>
    <n v="0.2068950363318667"/>
    <n v="1"/>
    <n v="1"/>
  </r>
  <r>
    <n v="20260277"/>
    <s v="2026-05-31"/>
    <s v="키움"/>
    <s v="KT"/>
    <n v="10001"/>
    <n v="12001"/>
    <n v="48.67"/>
    <n v="0.4867316451000267"/>
    <x v="5"/>
    <n v="0.5132683548999732"/>
    <x v="3"/>
    <x v="1"/>
    <n v="0.2634444041417249"/>
    <n v="0"/>
    <n v="1"/>
  </r>
  <r>
    <n v="20260278"/>
    <s v="2026-05-31"/>
    <s v="한화"/>
    <s v="SSG"/>
    <n v="7002"/>
    <n v="9002"/>
    <n v="65.27"/>
    <n v="0.6527330847949266"/>
    <x v="5"/>
    <n v="0.6527330847949266"/>
    <x v="1"/>
    <x v="0"/>
    <n v="0.1205943103960476"/>
    <n v="1"/>
    <n v="1"/>
  </r>
  <r>
    <n v="20260279"/>
    <s v="2026-05-31"/>
    <s v="삼성"/>
    <s v="두산"/>
    <n v="1001"/>
    <n v="6002"/>
    <n v="46.96"/>
    <n v="0.4696399407189114"/>
    <x v="5"/>
    <n v="0.5303600592810886"/>
    <x v="3"/>
    <x v="1"/>
    <n v="0.2205616739184626"/>
    <n v="1"/>
    <n v="0"/>
  </r>
  <r>
    <n v="20260280"/>
    <s v="2026-05-31"/>
    <s v="NC"/>
    <s v="롯데"/>
    <n v="11001"/>
    <n v="3001"/>
    <n v="33"/>
    <n v="0.3300124487120771"/>
    <x v="5"/>
    <n v="0.669987551287923"/>
    <x v="1"/>
    <x v="1"/>
    <n v="0.1089082163049413"/>
    <n v="1"/>
    <n v="0"/>
  </r>
  <r>
    <n v="20260281"/>
    <s v="2026-06-02"/>
    <s v="두산"/>
    <s v="한화"/>
    <n v="6002"/>
    <n v="7002"/>
    <n v="45.2"/>
    <n v="0.4519937330071735"/>
    <x v="6"/>
    <n v="0.5480062669928265"/>
    <x v="3"/>
    <x v="1"/>
    <n v="0.20429833467776"/>
    <n v="1"/>
    <n v="0"/>
  </r>
  <r>
    <n v="20260282"/>
    <s v="2026-06-02"/>
    <s v="SSG"/>
    <s v="키움"/>
    <n v="9002"/>
    <n v="10001"/>
    <n v="48.96"/>
    <n v="0.4895642727301264"/>
    <x v="6"/>
    <n v="0.5104357272698736"/>
    <x v="3"/>
    <x v="1"/>
    <n v="0.2605446316735248"/>
    <n v="0"/>
    <n v="1"/>
  </r>
  <r>
    <n v="20260283"/>
    <s v="2026-06-02"/>
    <s v="KT"/>
    <s v="LG"/>
    <n v="12001"/>
    <n v="5002"/>
    <n v="55.52"/>
    <n v="0.5552147230436916"/>
    <x v="6"/>
    <n v="0.5552147230436916"/>
    <x v="4"/>
    <x v="0"/>
    <n v="0.3082633886844832"/>
    <n v="0"/>
    <n v="0"/>
  </r>
  <r>
    <n v="20260284"/>
    <s v="2026-06-02"/>
    <s v="삼성"/>
    <s v="NC"/>
    <n v="1001"/>
    <n v="11001"/>
    <n v="70.84999999999999"/>
    <n v="0.7084795748697038"/>
    <x v="6"/>
    <n v="0.7084795748697038"/>
    <x v="0"/>
    <x v="0"/>
    <n v="0.08498415826814863"/>
    <n v="1"/>
    <n v="1"/>
  </r>
  <r>
    <n v="20260285"/>
    <s v="2026-06-02"/>
    <s v="KIA"/>
    <s v="롯데"/>
    <n v="2002"/>
    <n v="3001"/>
    <n v="63.88"/>
    <n v="0.6387926501793698"/>
    <x v="6"/>
    <n v="0.6387926501793698"/>
    <x v="2"/>
    <x v="0"/>
    <n v="0.1304707495644431"/>
    <n v="1"/>
    <n v="1"/>
  </r>
  <r>
    <n v="20260286"/>
    <s v="2026-06-03"/>
    <s v="두산"/>
    <s v="한화"/>
    <n v="6002"/>
    <n v="7002"/>
    <n v="17.86"/>
    <n v="0.1786308066378778"/>
    <x v="5"/>
    <n v="0.8213691933621222"/>
    <x v="0"/>
    <x v="1"/>
    <s v=""/>
    <s v="draw"/>
    <s v=""/>
  </r>
  <r>
    <n v="20260287"/>
    <s v="2026-06-03"/>
    <s v="SSG"/>
    <s v="키움"/>
    <n v="9002"/>
    <n v="10001"/>
    <n v="44.64"/>
    <n v="0.4464169588975788"/>
    <x v="5"/>
    <n v="0.5535830411024212"/>
    <x v="4"/>
    <x v="1"/>
    <n v="0.1992881011913626"/>
    <n v="1"/>
    <n v="0"/>
  </r>
  <r>
    <n v="20260288"/>
    <s v="2026-06-03"/>
    <s v="KT"/>
    <s v="LG"/>
    <n v="12001"/>
    <n v="5002"/>
    <n v="57.7"/>
    <n v="0.577046431529551"/>
    <x v="5"/>
    <n v="0.577046431529551"/>
    <x v="4"/>
    <x v="0"/>
    <n v="0.1788897210818867"/>
    <n v="1"/>
    <n v="1"/>
  </r>
  <r>
    <n v="20260289"/>
    <s v="2026-06-03"/>
    <s v="삼성"/>
    <s v="NC"/>
    <n v="1001"/>
    <n v="11001"/>
    <n v="53.49"/>
    <n v="0.5348973610582649"/>
    <x v="5"/>
    <n v="0.5348973610582649"/>
    <x v="3"/>
    <x v="0"/>
    <n v="0.2861151868670958"/>
    <n v="0"/>
    <n v="0"/>
  </r>
  <r>
    <n v="20260290"/>
    <s v="2026-06-03"/>
    <s v="KIA"/>
    <s v="롯데"/>
    <n v="2002"/>
    <n v="3001"/>
    <n v="47.73"/>
    <n v="0.4773431678572401"/>
    <x v="5"/>
    <n v="0.5226568321427598"/>
    <x v="3"/>
    <x v="1"/>
    <n v="0.273170164185505"/>
    <n v="0"/>
    <n v="1"/>
  </r>
  <r>
    <n v="20260291"/>
    <s v="2026-06-04"/>
    <s v="두산"/>
    <s v="한화"/>
    <n v="6002"/>
    <n v="7002"/>
    <n v="45.32"/>
    <n v="0.4532060174587096"/>
    <x v="5"/>
    <n v="0.5467939825412904"/>
    <x v="3"/>
    <x v="1"/>
    <n v="0.2053956942607842"/>
    <n v="1"/>
    <n v="0"/>
  </r>
  <r>
    <n v="20260292"/>
    <s v="2026-06-04"/>
    <s v="SSG"/>
    <s v="키움"/>
    <n v="9002"/>
    <n v="10001"/>
    <n v="49.96"/>
    <n v="0.4995981201732678"/>
    <x v="5"/>
    <n v="0.5004018798267322"/>
    <x v="3"/>
    <x v="1"/>
    <n v="0.2495982816806629"/>
    <n v="1"/>
    <n v="0"/>
  </r>
  <r>
    <n v="20260293"/>
    <s v="2026-06-04"/>
    <s v="KT"/>
    <s v="LG"/>
    <n v="12001"/>
    <n v="5002"/>
    <n v="29.68"/>
    <n v="0.2968326893974699"/>
    <x v="5"/>
    <n v="0.7031673106025301"/>
    <x v="0"/>
    <x v="1"/>
    <n v="0.4944442666999951"/>
    <n v="0"/>
    <n v="1"/>
  </r>
  <r>
    <n v="20260294"/>
    <s v="2026-06-04"/>
    <s v="삼성"/>
    <s v="NC"/>
    <n v="1001"/>
    <n v="11001"/>
    <n v="58.27"/>
    <n v="0.5827117742385838"/>
    <x v="5"/>
    <n v="0.5827117742385838"/>
    <x v="4"/>
    <x v="0"/>
    <n v="0.3395530118362782"/>
    <n v="0"/>
    <n v="0"/>
  </r>
  <r>
    <n v="20260295"/>
    <s v="2026-06-04"/>
    <s v="KIA"/>
    <s v="롯데"/>
    <n v="2002"/>
    <n v="3001"/>
    <n v="42.31"/>
    <n v="0.4231335408907291"/>
    <x v="5"/>
    <n v="0.5768664591092709"/>
    <x v="4"/>
    <x v="1"/>
    <n v="0.1790419934267263"/>
    <n v="1"/>
    <n v="0"/>
  </r>
  <r>
    <n v="20260296"/>
    <s v="2026-06-05"/>
    <s v="두산"/>
    <s v="키움"/>
    <n v="6002"/>
    <n v="10001"/>
    <n v="52.43"/>
    <n v="0.5242717593768887"/>
    <x v="5"/>
    <n v="0.5242717593768887"/>
    <x v="3"/>
    <x v="0"/>
    <n v="0.2263173589263608"/>
    <n v="1"/>
    <n v="1"/>
  </r>
  <r>
    <n v="20260297"/>
    <s v="2026-06-05"/>
    <s v="SSG"/>
    <s v="KT"/>
    <n v="9002"/>
    <n v="12001"/>
    <n v="78.13"/>
    <n v="0.7812697312653079"/>
    <x v="5"/>
    <n v="0.7812697312653079"/>
    <x v="0"/>
    <x v="0"/>
    <n v="0.04784293046075064"/>
    <n v="1"/>
    <n v="1"/>
  </r>
  <r>
    <n v="20260298"/>
    <s v="2026-06-05"/>
    <s v="KIA"/>
    <s v="삼성"/>
    <n v="2002"/>
    <n v="1001"/>
    <n v="57.45"/>
    <n v="0.5745012661636795"/>
    <x v="5"/>
    <n v="0.5745012661636795"/>
    <x v="4"/>
    <x v="0"/>
    <n v="0.1810491724963119"/>
    <n v="1"/>
    <n v="1"/>
  </r>
  <r>
    <n v="20260299"/>
    <s v="2026-06-05"/>
    <s v="롯데"/>
    <s v="한화"/>
    <n v="3001"/>
    <n v="7002"/>
    <n v="40.12"/>
    <n v="0.4011505698183581"/>
    <x v="5"/>
    <n v="0.5988494301816418"/>
    <x v="4"/>
    <x v="1"/>
    <n v="0.3586206400288771"/>
    <n v="0"/>
    <n v="1"/>
  </r>
  <r>
    <n v="20260300"/>
    <s v="2026-06-05"/>
    <s v="NC"/>
    <s v="LG"/>
    <n v="11001"/>
    <n v="5002"/>
    <n v="47.67"/>
    <n v="0.4767065819330182"/>
    <x v="5"/>
    <n v="0.5232934180669818"/>
    <x v="3"/>
    <x v="1"/>
    <n v="0.273836001392225"/>
    <n v="0"/>
    <n v="1"/>
  </r>
  <r>
    <n v="20260302"/>
    <s v="2026-06-06"/>
    <s v="SSG"/>
    <s v="KT"/>
    <n v="9002"/>
    <n v="12001"/>
    <n v="53.2"/>
    <n v="0.5320013875920084"/>
    <x v="5"/>
    <n v="0.5320013875920084"/>
    <x v="3"/>
    <x v="0"/>
    <n v="0.2830254763998224"/>
    <n v="0"/>
    <n v="0"/>
  </r>
  <r>
    <n v="20260301"/>
    <s v="2026-06-06"/>
    <s v="두산"/>
    <s v="키움"/>
    <n v="6002"/>
    <n v="10001"/>
    <n v="43.23"/>
    <n v="0.4322902856024837"/>
    <x v="5"/>
    <n v="0.5677097143975163"/>
    <x v="4"/>
    <x v="1"/>
    <n v="0.1868748910262769"/>
    <n v="1"/>
    <n v="0"/>
  </r>
  <r>
    <n v="20260303"/>
    <s v="2026-06-06"/>
    <s v="KIA"/>
    <s v="삼성"/>
    <n v="2002"/>
    <n v="1001"/>
    <n v="45.12"/>
    <n v="0.451235176491489"/>
    <x v="5"/>
    <n v="0.548764823508511"/>
    <x v="3"/>
    <x v="1"/>
    <n v="0.3011428315203272"/>
    <n v="0"/>
    <n v="1"/>
  </r>
  <r>
    <n v="20260304"/>
    <s v="2026-06-06"/>
    <s v="롯데"/>
    <s v="한화"/>
    <n v="3001"/>
    <n v="7002"/>
    <n v="30.73"/>
    <n v="0.3073093124256324"/>
    <x v="5"/>
    <n v="0.6926906875743676"/>
    <x v="1"/>
    <x v="1"/>
    <n v="0.4798203886522501"/>
    <n v="0"/>
    <n v="1"/>
  </r>
  <r>
    <n v="20260305"/>
    <s v="2026-06-06"/>
    <s v="NC"/>
    <s v="LG"/>
    <n v="11001"/>
    <n v="5002"/>
    <n v="36.05"/>
    <n v="0.3605080692324525"/>
    <x v="5"/>
    <n v="0.6394919307675475"/>
    <x v="2"/>
    <x v="1"/>
    <n v="0.1299660679817108"/>
    <n v="1"/>
    <n v="0"/>
  </r>
  <r>
    <n v="20260306"/>
    <s v="2026-06-07"/>
    <s v="두산"/>
    <s v="키움"/>
    <n v="6002"/>
    <n v="10001"/>
    <n v="61.02"/>
    <n v="0.6101912682912011"/>
    <x v="5"/>
    <n v="0.6101912682912011"/>
    <x v="2"/>
    <x v="0"/>
    <n v="0.3723333838988245"/>
    <n v="0"/>
    <n v="0"/>
  </r>
  <r>
    <n v="20260307"/>
    <s v="2026-06-07"/>
    <s v="SSG"/>
    <s v="KT"/>
    <n v="9002"/>
    <n v="12001"/>
    <n v="33.51"/>
    <n v="0.3351421901864743"/>
    <x v="5"/>
    <n v="0.6648578098135257"/>
    <x v="1"/>
    <x v="1"/>
    <n v="0.1123202876429869"/>
    <n v="1"/>
    <n v="0"/>
  </r>
  <r>
    <n v="20260308"/>
    <s v="2026-06-07"/>
    <s v="KIA"/>
    <s v="삼성"/>
    <n v="2002"/>
    <n v="1001"/>
    <n v="47.84"/>
    <n v="0.4784382534388498"/>
    <x v="5"/>
    <n v="0.5215617465611502"/>
    <x v="3"/>
    <x v="1"/>
    <n v="0.2289031623536171"/>
    <n v="1"/>
    <n v="0"/>
  </r>
  <r>
    <n v="20260309"/>
    <s v="2026-06-07"/>
    <s v="롯데"/>
    <s v="한화"/>
    <n v="3001"/>
    <n v="7002"/>
    <n v="55.62"/>
    <n v="0.5561658120962157"/>
    <x v="5"/>
    <n v="0.5561658120962157"/>
    <x v="4"/>
    <x v="0"/>
    <n v="0.3093204105446432"/>
    <n v="0"/>
    <n v="0"/>
  </r>
  <r>
    <n v="20260310"/>
    <s v="2026-06-07"/>
    <s v="NC"/>
    <s v="LG"/>
    <n v="11001"/>
    <n v="5002"/>
    <n v="40.47"/>
    <n v="0.4047272179141277"/>
    <x v="5"/>
    <n v="0.5952727820858723"/>
    <x v="4"/>
    <x v="1"/>
    <n v="0.1638041209205098"/>
    <n v="1"/>
    <n v="0"/>
  </r>
  <r>
    <n v="20260311"/>
    <s v="2026-06-09"/>
    <s v="LG"/>
    <s v="SSG"/>
    <n v="5002"/>
    <n v="9002"/>
    <n v="60.75"/>
    <n v="0.6074999709017321"/>
    <x v="5"/>
    <n v="0.6074999709017321"/>
    <x v="2"/>
    <x v="0"/>
    <n v="0.1540562728421411"/>
    <n v="1"/>
    <n v="1"/>
  </r>
  <r>
    <n v="20260312"/>
    <s v="2026-06-09"/>
    <s v="키움"/>
    <s v="NC"/>
    <n v="10001"/>
    <n v="11001"/>
    <n v="63.7"/>
    <n v="0.6369618322304653"/>
    <x v="5"/>
    <n v="0.6369618322304653"/>
    <x v="2"/>
    <x v="0"/>
    <n v="0.1317967112574608"/>
    <n v="1"/>
    <n v="1"/>
  </r>
  <r>
    <n v="20260313"/>
    <s v="2026-06-09"/>
    <s v="KT"/>
    <s v="삼성"/>
    <n v="12001"/>
    <n v="1001"/>
    <n v="50"/>
    <n v="0.4999959689519978"/>
    <x v="5"/>
    <n v="0.5000040310480022"/>
    <x v="3"/>
    <x v="1"/>
    <n v="0.2499959689682472"/>
    <n v="1"/>
    <n v="0"/>
  </r>
  <r>
    <n v="20260314"/>
    <s v="2026-06-09"/>
    <s v="한화"/>
    <s v="KIA"/>
    <n v="7002"/>
    <n v="2002"/>
    <n v="57.92"/>
    <n v="0.5792440217196286"/>
    <x v="5"/>
    <n v="0.5792440217196286"/>
    <x v="4"/>
    <x v="0"/>
    <n v="0.3355236366979296"/>
    <n v="0"/>
    <n v="0"/>
  </r>
  <r>
    <n v="20260315"/>
    <s v="2026-06-09"/>
    <s v="롯데"/>
    <s v="두산"/>
    <n v="3001"/>
    <n v="6002"/>
    <n v="33.77"/>
    <n v="0.3376632609547007"/>
    <x v="5"/>
    <n v="0.6623367390452993"/>
    <x v="1"/>
    <x v="1"/>
    <n v="0.4386899558891609"/>
    <n v="0"/>
    <n v="1"/>
  </r>
  <r>
    <n v="20260316"/>
    <s v="2026-06-10"/>
    <s v="LG"/>
    <s v="SSG"/>
    <n v="5002"/>
    <n v="9002"/>
    <n v="65.34999999999999"/>
    <n v="0.6535455114098406"/>
    <x v="6"/>
    <n v="0.6535455114098406"/>
    <x v="1"/>
    <x v="0"/>
    <n v="0.1200307126642689"/>
    <n v="1"/>
    <n v="1"/>
  </r>
  <r>
    <n v="20260317"/>
    <s v="2026-06-10"/>
    <s v="키움"/>
    <s v="NC"/>
    <n v="10001"/>
    <n v="11001"/>
    <n v="30.78"/>
    <n v="0.3077657803193158"/>
    <x v="6"/>
    <n v="0.6922342196806842"/>
    <x v="1"/>
    <x v="1"/>
    <n v="0.4791882148969258"/>
    <n v="0"/>
    <n v="1"/>
  </r>
  <r>
    <n v="20260318"/>
    <s v="2026-06-10"/>
    <s v="KT"/>
    <s v="삼성"/>
    <n v="12001"/>
    <n v="1001"/>
    <n v="36.55"/>
    <n v="0.3654607698950318"/>
    <x v="6"/>
    <n v="0.6345392301049682"/>
    <x v="2"/>
    <x v="1"/>
    <n v="0.1335615743322694"/>
    <n v="1"/>
    <n v="0"/>
  </r>
  <r>
    <n v="20260319"/>
    <s v="2026-06-10"/>
    <s v="한화"/>
    <s v="KIA"/>
    <n v="7002"/>
    <n v="2002"/>
    <n v="44.2"/>
    <n v="0.4419912471820913"/>
    <x v="6"/>
    <n v="0.5580087528179087"/>
    <x v="4"/>
    <x v="1"/>
    <n v="0.1953562625855805"/>
    <n v="1"/>
    <n v="0"/>
  </r>
  <r>
    <n v="20260320"/>
    <s v="2026-06-10"/>
    <s v="롯데"/>
    <s v="두산"/>
    <n v="3001"/>
    <n v="6002"/>
    <n v="44.61"/>
    <n v="0.4461164760752404"/>
    <x v="6"/>
    <n v="0.5538835239247596"/>
    <x v="4"/>
    <x v="1"/>
    <n v="0.1990199102257905"/>
    <n v="1"/>
    <n v="0"/>
  </r>
  <r>
    <n v="20260321"/>
    <s v="2026-06-11"/>
    <s v="LG"/>
    <s v="SSG"/>
    <n v="5002"/>
    <n v="9002"/>
    <n v="43.74"/>
    <n v="0.4373793780662417"/>
    <x v="6"/>
    <n v="0.5626206219337583"/>
    <x v="4"/>
    <x v="1"/>
    <n v="0.1913007203576124"/>
    <n v="1"/>
    <n v="0"/>
  </r>
  <r>
    <n v="20260322"/>
    <s v="2026-06-11"/>
    <s v="키움"/>
    <s v="NC"/>
    <n v="10001"/>
    <n v="11001"/>
    <n v="30.15"/>
    <n v="0.3015104663747317"/>
    <x v="6"/>
    <n v="0.6984895336252683"/>
    <x v="1"/>
    <x v="1"/>
    <n v="0.4878876285840449"/>
    <n v="0"/>
    <n v="1"/>
  </r>
  <r>
    <n v="20260323"/>
    <s v="2026-06-11"/>
    <s v="KT"/>
    <s v="삼성"/>
    <n v="12001"/>
    <n v="1001"/>
    <n v="37.05"/>
    <n v="0.3704665114702295"/>
    <x v="6"/>
    <n v="0.6295334885297705"/>
    <x v="2"/>
    <x v="1"/>
    <n v="0.3963124131804627"/>
    <n v="0"/>
    <n v="1"/>
  </r>
  <r>
    <n v="20260324"/>
    <s v="2026-06-11"/>
    <s v="한화"/>
    <s v="KIA"/>
    <n v="7002"/>
    <n v="2002"/>
    <n v="42.32"/>
    <n v="0.4232399360217023"/>
    <x v="6"/>
    <n v="0.5767600639782977"/>
    <x v="4"/>
    <x v="1"/>
    <n v="0.1791320434436547"/>
    <n v="1"/>
    <n v="0"/>
  </r>
  <r>
    <n v="20260325"/>
    <s v="2026-06-11"/>
    <s v="롯데"/>
    <s v="두산"/>
    <n v="3001"/>
    <n v="6002"/>
    <n v="52.52"/>
    <n v="0.5252013601977775"/>
    <x v="6"/>
    <n v="0.5252013601977775"/>
    <x v="3"/>
    <x v="0"/>
    <n v="0.2758364687535956"/>
    <n v="0"/>
    <n v="0"/>
  </r>
  <r>
    <n v="20260326"/>
    <s v="2026-06-12"/>
    <s v="LG"/>
    <s v="롯데"/>
    <n v="5002"/>
    <n v="3001"/>
    <n v="59.76"/>
    <n v="0.5976160385480185"/>
    <x v="6"/>
    <n v="0.5976160385480185"/>
    <x v="4"/>
    <x v="0"/>
    <n v="0.3571449295298267"/>
    <n v="0"/>
    <n v="0"/>
  </r>
  <r>
    <n v="20260327"/>
    <s v="2026-06-12"/>
    <s v="키움"/>
    <s v="한화"/>
    <n v="10001"/>
    <n v="7002"/>
    <n v="38.6"/>
    <n v="0.3859757252304541"/>
    <x v="6"/>
    <n v="0.6140242747695459"/>
    <x v="2"/>
    <x v="1"/>
    <n v="0.148977260467175"/>
    <n v="1"/>
    <n v="0"/>
  </r>
  <r>
    <n v="20260328"/>
    <s v="2026-06-12"/>
    <s v="KT"/>
    <s v="NC"/>
    <n v="12001"/>
    <n v="11001"/>
    <n v="54.79"/>
    <n v="0.5478970200833237"/>
    <x v="6"/>
    <n v="0.5478970200833237"/>
    <x v="3"/>
    <x v="0"/>
    <n v="0.2043971044495386"/>
    <n v="1"/>
    <n v="1"/>
  </r>
  <r>
    <n v="20260329"/>
    <s v="2026-06-12"/>
    <s v="삼성"/>
    <s v="SSG"/>
    <n v="1001"/>
    <n v="9002"/>
    <n v="60.17"/>
    <n v="0.6017341671631073"/>
    <x v="6"/>
    <n v="0.6017341671631073"/>
    <x v="2"/>
    <x v="0"/>
    <n v="0.3620840079314784"/>
    <n v="0"/>
    <n v="0"/>
  </r>
  <r>
    <n v="20260330"/>
    <s v="2026-06-12"/>
    <s v="KIA"/>
    <s v="두산"/>
    <n v="2002"/>
    <n v="6002"/>
    <n v="45.49"/>
    <n v="0.4548738215363903"/>
    <x v="6"/>
    <n v="0.5451261784636097"/>
    <x v="3"/>
    <x v="1"/>
    <n v="0.2971625504463392"/>
    <n v="0"/>
    <n v="1"/>
  </r>
  <r>
    <n v="20260331"/>
    <s v="2026-06-13"/>
    <s v="LG"/>
    <s v="롯데"/>
    <n v="5002"/>
    <n v="3001"/>
    <n v="62.9"/>
    <n v="0.6289715546963214"/>
    <x v="5"/>
    <n v="0.6289715546963214"/>
    <x v="2"/>
    <x v="0"/>
    <n v="0.1376621072244648"/>
    <n v="1"/>
    <n v="1"/>
  </r>
  <r>
    <n v="20260332"/>
    <s v="2026-06-13"/>
    <s v="키움"/>
    <s v="한화"/>
    <n v="10001"/>
    <n v="7002"/>
    <n v="71.09"/>
    <n v="0.7109084308113766"/>
    <x v="5"/>
    <n v="0.7109084308113766"/>
    <x v="0"/>
    <x v="0"/>
    <n v="0.08357393537594066"/>
    <n v="1"/>
    <n v="1"/>
  </r>
  <r>
    <n v="20260333"/>
    <s v="2026-06-13"/>
    <s v="KT"/>
    <s v="NC"/>
    <n v="12001"/>
    <n v="11001"/>
    <n v="56.23"/>
    <n v="0.5622617961892017"/>
    <x v="5"/>
    <n v="0.5622617961892017"/>
    <x v="4"/>
    <x v="0"/>
    <n v="0.191614735075504"/>
    <n v="1"/>
    <n v="1"/>
  </r>
  <r>
    <n v="20260334"/>
    <s v="2026-06-13"/>
    <s v="삼성"/>
    <s v="SSG"/>
    <n v="1001"/>
    <n v="9002"/>
    <n v="66.43000000000001"/>
    <n v="0.6643391066882098"/>
    <x v="5"/>
    <n v="0.6643391066882098"/>
    <x v="1"/>
    <x v="0"/>
    <n v="0.112668235298869"/>
    <n v="1"/>
    <n v="1"/>
  </r>
  <r>
    <n v="20260335"/>
    <s v="2026-06-13"/>
    <s v="KIA"/>
    <s v="두산"/>
    <n v="2002"/>
    <n v="6002"/>
    <n v="40.49"/>
    <n v="0.4048557683328585"/>
    <x v="5"/>
    <n v="0.5951442316671415"/>
    <x v="4"/>
    <x v="1"/>
    <n v="0.1639081931523892"/>
    <n v="1"/>
    <n v="0"/>
  </r>
  <r>
    <n v="20260337"/>
    <s v="2026-06-14"/>
    <s v="키움"/>
    <s v="한화"/>
    <n v="10001"/>
    <n v="7002"/>
    <n v="52.89"/>
    <n v="0.5288707923087059"/>
    <x v="5"/>
    <n v="0.5288707923087059"/>
    <x v="3"/>
    <x v="0"/>
    <n v="0.2219627303398265"/>
    <n v="1"/>
    <n v="1"/>
  </r>
  <r>
    <n v="20260336"/>
    <s v="2026-06-14"/>
    <s v="LG"/>
    <s v="롯데"/>
    <n v="5002"/>
    <n v="3001"/>
    <n v="45.78"/>
    <n v="0.4578114938561731"/>
    <x v="5"/>
    <n v="0.542188506143827"/>
    <x v="3"/>
    <x v="1"/>
    <n v="0.2095913639068208"/>
    <n v="1"/>
    <n v="0"/>
  </r>
  <r>
    <n v="20260338"/>
    <s v="2026-06-14"/>
    <s v="KT"/>
    <s v="NC"/>
    <n v="12001"/>
    <n v="11001"/>
    <n v="40.9"/>
    <n v="0.4090175298100893"/>
    <x v="5"/>
    <n v="0.5909824701899107"/>
    <x v="4"/>
    <x v="1"/>
    <s v=""/>
    <s v="cancel"/>
    <s v=""/>
  </r>
  <r>
    <n v="20260339"/>
    <s v="2026-06-14"/>
    <s v="삼성"/>
    <s v="SSG"/>
    <n v="1001"/>
    <n v="9002"/>
    <n v="65.05"/>
    <n v="0.6505163518250234"/>
    <x v="5"/>
    <n v="0.6505163518250234"/>
    <x v="1"/>
    <x v="0"/>
    <n v="0.1221388203416908"/>
    <n v="1"/>
    <n v="1"/>
  </r>
  <r>
    <n v="20260340"/>
    <s v="2026-06-14"/>
    <s v="KIA"/>
    <s v="두산"/>
    <n v="2002"/>
    <n v="6002"/>
    <n v="26.38"/>
    <n v="0.2638334025781665"/>
    <x v="5"/>
    <n v="0.7361665974218334"/>
    <x v="0"/>
    <x v="1"/>
    <n v="0.5419412591596398"/>
    <n v="0"/>
    <n v="1"/>
  </r>
  <r>
    <n v="20260341"/>
    <s v="2026-06-16"/>
    <s v="두산"/>
    <s v="KT"/>
    <n v="6002"/>
    <n v="12001"/>
    <n v="43.58"/>
    <n v="0.4358167606411497"/>
    <x v="5"/>
    <n v="0.5641832393588503"/>
    <x v="4"/>
    <x v="1"/>
    <n v="0.3183027275734457"/>
    <n v="0"/>
    <n v="1"/>
  </r>
  <r>
    <n v="20260342"/>
    <s v="2026-06-16"/>
    <s v="SSG"/>
    <s v="롯데"/>
    <n v="9002"/>
    <n v="3001"/>
    <n v="25.81"/>
    <n v="0.2580645457271599"/>
    <x v="5"/>
    <n v="0.74193545427284"/>
    <x v="0"/>
    <x v="1"/>
    <n v="0.5504682183070455"/>
    <n v="0"/>
    <n v="1"/>
  </r>
  <r>
    <n v="20260343"/>
    <s v="2026-06-16"/>
    <s v="삼성"/>
    <s v="키움"/>
    <n v="1001"/>
    <n v="10001"/>
    <n v="61.15"/>
    <n v="0.6114591200216059"/>
    <x v="5"/>
    <n v="0.6114591200216059"/>
    <x v="2"/>
    <x v="0"/>
    <n v="0.1509640154143849"/>
    <n v="1"/>
    <n v="1"/>
  </r>
  <r>
    <n v="20260344"/>
    <s v="2026-06-16"/>
    <s v="KIA"/>
    <s v="LG"/>
    <n v="2002"/>
    <n v="5002"/>
    <n v="34.56"/>
    <n v="0.3455788974517199"/>
    <x v="5"/>
    <n v="0.6544211025482801"/>
    <x v="1"/>
    <x v="1"/>
    <n v="0.4282669794605066"/>
    <n v="0"/>
    <n v="1"/>
  </r>
  <r>
    <n v="20260345"/>
    <s v="2026-06-16"/>
    <s v="NC"/>
    <s v="한화"/>
    <n v="11001"/>
    <n v="7002"/>
    <n v="45.25"/>
    <n v="0.4524942528028157"/>
    <x v="5"/>
    <n v="0.5475057471971843"/>
    <x v="3"/>
    <x v="1"/>
    <n v="0.2047510488195785"/>
    <n v="1"/>
    <n v="0"/>
  </r>
  <r>
    <n v="20260346"/>
    <s v="2026-06-17"/>
    <s v="두산"/>
    <s v="KT"/>
    <n v="6002"/>
    <n v="12001"/>
    <n v="26.81"/>
    <n v="0.2681008054827184"/>
    <x v="5"/>
    <n v="0.7318991945172816"/>
    <x v="0"/>
    <x v="1"/>
    <n v="0.5356764309350456"/>
    <n v="0"/>
    <n v="1"/>
  </r>
  <r>
    <n v="20260347"/>
    <s v="2026-06-17"/>
    <s v="SSG"/>
    <s v="롯데"/>
    <n v="9002"/>
    <n v="3001"/>
    <n v="44.86"/>
    <n v="0.4486198417674189"/>
    <x v="5"/>
    <n v="0.551380158232581"/>
    <x v="4"/>
    <x v="1"/>
    <n v="0.3040200788925861"/>
    <n v="0"/>
    <n v="1"/>
  </r>
  <r>
    <n v="20260348"/>
    <s v="2026-06-17"/>
    <s v="삼성"/>
    <s v="키움"/>
    <n v="1001"/>
    <n v="10001"/>
    <n v="47.39"/>
    <n v="0.4739417887049224"/>
    <x v="5"/>
    <n v="0.5260582112950776"/>
    <x v="3"/>
    <x v="1"/>
    <n v="0.2246208190808213"/>
    <n v="1"/>
    <n v="0"/>
  </r>
  <r>
    <n v="20260349"/>
    <s v="2026-06-17"/>
    <s v="KIA"/>
    <s v="LG"/>
    <n v="2002"/>
    <n v="5002"/>
    <n v="54.62"/>
    <n v="0.5462436341187961"/>
    <x v="5"/>
    <n v="0.5462436341187961"/>
    <x v="3"/>
    <x v="0"/>
    <n v="0.205894839577717"/>
    <n v="1"/>
    <n v="1"/>
  </r>
  <r>
    <n v="20260350"/>
    <s v="2026-06-17"/>
    <s v="NC"/>
    <s v="한화"/>
    <n v="11001"/>
    <n v="7002"/>
    <n v="58.32"/>
    <n v="0.5831613116589945"/>
    <x v="5"/>
    <n v="0.5831613116589945"/>
    <x v="4"/>
    <x v="0"/>
    <n v="0.1737544920978499"/>
    <n v="1"/>
    <n v="1"/>
  </r>
  <r>
    <n v="20260351"/>
    <s v="2026-06-18"/>
    <s v="두산"/>
    <s v="KT"/>
    <n v="6002"/>
    <n v="12001"/>
    <n v="47.74"/>
    <n v="0.4773622423977894"/>
    <x v="5"/>
    <n v="0.5226377576022105"/>
    <x v="3"/>
    <x v="1"/>
    <n v="0.2278747104670459"/>
    <n v="1"/>
    <n v="0"/>
  </r>
  <r>
    <n v="20260352"/>
    <s v="2026-06-18"/>
    <s v="SSG"/>
    <s v="롯데"/>
    <n v="9002"/>
    <n v="3001"/>
    <n v="40.83"/>
    <n v="0.4083385516233893"/>
    <x v="5"/>
    <n v="0.5916614483766107"/>
    <x v="4"/>
    <x v="1"/>
    <s v=""/>
    <s v="draw"/>
    <s v=""/>
  </r>
  <r>
    <n v="20260353"/>
    <s v="2026-06-18"/>
    <s v="삼성"/>
    <s v="키움"/>
    <n v="1001"/>
    <n v="10001"/>
    <n v="42.52"/>
    <n v="0.4252082665784856"/>
    <x v="5"/>
    <n v="0.5747917334215145"/>
    <x v="4"/>
    <x v="1"/>
    <n v="0.1808020699666804"/>
    <n v="1"/>
    <n v="0"/>
  </r>
  <r>
    <n v="20260354"/>
    <s v="2026-06-18"/>
    <s v="KIA"/>
    <s v="LG"/>
    <n v="2002"/>
    <n v="5002"/>
    <n v="36.95"/>
    <n v="0.3694639165396219"/>
    <x v="5"/>
    <n v="0.6305360834603781"/>
    <x v="2"/>
    <x v="1"/>
    <n v="0.1365035856247967"/>
    <n v="1"/>
    <n v="0"/>
  </r>
  <r>
    <n v="20260355"/>
    <s v="2026-06-18"/>
    <s v="NC"/>
    <s v="한화"/>
    <n v="11001"/>
    <n v="7002"/>
    <n v="47.26"/>
    <n v="0.4725707946117352"/>
    <x v="5"/>
    <n v="0.5274292053882648"/>
    <x v="3"/>
    <x v="1"/>
    <n v="0.2233231559199668"/>
    <n v="1"/>
    <n v="0"/>
  </r>
  <r>
    <n v="20260356"/>
    <s v="2026-06-19"/>
    <s v="LG"/>
    <s v="두산"/>
    <n v="5002"/>
    <n v="6002"/>
    <n v="28.43"/>
    <n v="0.2843361230065272"/>
    <x v="5"/>
    <n v="0.7156638769934728"/>
    <x v="0"/>
    <x v="1"/>
    <n v="0.08084703084638298"/>
    <n v="1"/>
    <n v="0"/>
  </r>
  <r>
    <n v="20260357"/>
    <s v="2026-06-19"/>
    <s v="키움"/>
    <s v="롯데"/>
    <n v="10001"/>
    <n v="3001"/>
    <n v="72.33"/>
    <n v="0.723340268099218"/>
    <x v="5"/>
    <n v="0.723340268099218"/>
    <x v="0"/>
    <x v="0"/>
    <n v="0.5232211434538486"/>
    <n v="0"/>
    <n v="0"/>
  </r>
  <r>
    <n v="20260358"/>
    <s v="2026-06-19"/>
    <s v="KT"/>
    <s v="KIA"/>
    <n v="12001"/>
    <n v="2002"/>
    <n v="47.5"/>
    <n v="0.4750319115558281"/>
    <x v="5"/>
    <n v="0.5249680884441719"/>
    <x v="3"/>
    <x v="1"/>
    <n v="0.2755914938847279"/>
    <n v="0"/>
    <n v="1"/>
  </r>
  <r>
    <n v="20260359"/>
    <s v="2026-06-19"/>
    <s v="한화"/>
    <s v="삼성"/>
    <n v="7002"/>
    <n v="1001"/>
    <n v="33.32"/>
    <n v="0.3332230304445932"/>
    <x v="5"/>
    <n v="0.6667769695554068"/>
    <x v="1"/>
    <x v="1"/>
    <s v=""/>
    <s v="draw"/>
    <s v=""/>
  </r>
  <r>
    <n v="20260360"/>
    <s v="2026-06-19"/>
    <s v="NC"/>
    <s v="SSG"/>
    <n v="11001"/>
    <n v="9002"/>
    <n v="59.09"/>
    <n v="0.5909155956257636"/>
    <x v="5"/>
    <n v="0.5909155956257636"/>
    <x v="4"/>
    <x v="0"/>
    <n v="0.1673500499022238"/>
    <n v="1"/>
    <n v="1"/>
  </r>
  <r>
    <n v="20260361"/>
    <s v="2026-06-20"/>
    <s v="LG"/>
    <s v="두산"/>
    <n v="5002"/>
    <n v="6002"/>
    <n v="44.36"/>
    <n v="0.4435813069604986"/>
    <x v="5"/>
    <n v="0.5564186930395014"/>
    <x v="4"/>
    <x v="1"/>
    <n v="0.1967643758847841"/>
    <n v="1"/>
    <n v="0"/>
  </r>
  <r>
    <n v="20260362"/>
    <s v="2026-06-20"/>
    <s v="키움"/>
    <s v="롯데"/>
    <n v="10001"/>
    <n v="3001"/>
    <n v="58.67"/>
    <n v="0.5867006295667262"/>
    <x v="5"/>
    <n v="0.5867006295667262"/>
    <x v="4"/>
    <x v="0"/>
    <n v="0.3442176287339929"/>
    <n v="0"/>
    <n v="0"/>
  </r>
  <r>
    <n v="20260363"/>
    <s v="2026-06-20"/>
    <s v="KT"/>
    <s v="KIA"/>
    <n v="12001"/>
    <n v="2002"/>
    <n v="51.77"/>
    <n v="0.5176523872860594"/>
    <x v="5"/>
    <n v="0.5176523872860594"/>
    <x v="3"/>
    <x v="0"/>
    <n v="0.2326592194908376"/>
    <n v="1"/>
    <n v="1"/>
  </r>
  <r>
    <n v="20260364"/>
    <s v="2026-06-20"/>
    <s v="한화"/>
    <s v="삼성"/>
    <n v="7002"/>
    <n v="1001"/>
    <n v="52.18"/>
    <n v="0.5217700558337527"/>
    <x v="5"/>
    <n v="0.5217700558337527"/>
    <x v="3"/>
    <x v="0"/>
    <n v="0.228703879497252"/>
    <n v="1"/>
    <n v="1"/>
  </r>
  <r>
    <n v="20260365"/>
    <s v="2026-06-20"/>
    <s v="NC"/>
    <s v="SSG"/>
    <n v="11001"/>
    <n v="9002"/>
    <n v="82.79000000000001"/>
    <n v="0.8278898073679465"/>
    <x v="5"/>
    <n v="0.8278898073679465"/>
    <x v="0"/>
    <x v="0"/>
    <n v="0.6854015331437355"/>
    <n v="0"/>
    <n v="0"/>
  </r>
  <r>
    <n v="20260367"/>
    <s v="2026-06-21"/>
    <s v="키움"/>
    <s v="롯데"/>
    <n v="10001"/>
    <n v="3001"/>
    <n v="46.69"/>
    <n v="0.4669072809999186"/>
    <x v="5"/>
    <n v="0.5330927190000814"/>
    <x v="3"/>
    <x v="1"/>
    <n v="0.2841878470508997"/>
    <n v="0"/>
    <n v="1"/>
  </r>
  <r>
    <n v="20260366"/>
    <s v="2026-06-21"/>
    <s v="LG"/>
    <s v="두산"/>
    <n v="5002"/>
    <n v="6002"/>
    <n v="53.05"/>
    <n v="0.530508525219518"/>
    <x v="5"/>
    <n v="0.530508525219518"/>
    <x v="3"/>
    <x v="0"/>
    <n v="0.220422244891552"/>
    <n v="1"/>
    <n v="1"/>
  </r>
  <r>
    <n v="20260368"/>
    <s v="2026-06-21"/>
    <s v="KT"/>
    <s v="KIA"/>
    <n v="12001"/>
    <n v="2002"/>
    <n v="60.15"/>
    <n v="0.6015307380512833"/>
    <x v="5"/>
    <n v="0.6015307380512833"/>
    <x v="2"/>
    <x v="0"/>
    <n v="0.3618392288205216"/>
    <n v="0"/>
    <n v="0"/>
  </r>
  <r>
    <n v="20260369"/>
    <s v="2026-06-21"/>
    <s v="한화"/>
    <s v="삼성"/>
    <n v="7002"/>
    <n v="1001"/>
    <n v="49.63"/>
    <n v="0.496258769446372"/>
    <x v="5"/>
    <n v="0.503741230553628"/>
    <x v="3"/>
    <x v="1"/>
    <n v="0.2537552273596834"/>
    <n v="0"/>
    <n v="1"/>
  </r>
  <r>
    <n v="20260370"/>
    <s v="2026-06-21"/>
    <s v="NC"/>
    <s v="SSG"/>
    <n v="11001"/>
    <n v="9002"/>
    <n v="56.9"/>
    <n v="0.56896134798613"/>
    <x v="5"/>
    <n v="0.56896134798613"/>
    <x v="4"/>
    <x v="0"/>
    <n v="0.3237170155021941"/>
    <n v="0"/>
    <n v="0"/>
  </r>
  <r>
    <n v="20260371"/>
    <s v="2026-06-23"/>
    <s v="LG"/>
    <s v="삼성"/>
    <n v="5002"/>
    <n v="1001"/>
    <n v="45.54"/>
    <n v="0.4553958703445046"/>
    <x v="5"/>
    <n v="0.5446041296554953"/>
    <x v="3"/>
    <x v="1"/>
    <n v="0.2073853987268289"/>
    <n v="1"/>
    <n v="0"/>
  </r>
  <r>
    <n v="20260372"/>
    <s v="2026-06-23"/>
    <s v="키움"/>
    <s v="KIA"/>
    <n v="10001"/>
    <n v="2002"/>
    <n v="40.16"/>
    <n v="0.401562924907686"/>
    <x v="5"/>
    <n v="0.598437075092314"/>
    <x v="4"/>
    <x v="1"/>
    <n v="0.3581269328450439"/>
    <n v="0"/>
    <n v="1"/>
  </r>
  <r>
    <n v="20260373"/>
    <s v="2026-06-23"/>
    <s v="KT"/>
    <s v="SSG"/>
    <n v="12001"/>
    <n v="9002"/>
    <n v="66.33"/>
    <n v="0.6632927915812221"/>
    <x v="5"/>
    <n v="0.6632927915812221"/>
    <x v="1"/>
    <x v="0"/>
    <n v="0.1133717442011663"/>
    <n v="1"/>
    <n v="1"/>
  </r>
  <r>
    <n v="20260374"/>
    <s v="2026-06-23"/>
    <s v="한화"/>
    <s v="두산"/>
    <n v="7002"/>
    <n v="6002"/>
    <n v="82.13"/>
    <n v="0.8212610118850119"/>
    <x v="5"/>
    <n v="0.8212610118850119"/>
    <x v="0"/>
    <x v="0"/>
    <n v="0.03194762587236986"/>
    <n v="1"/>
    <n v="1"/>
  </r>
  <r>
    <n v="20260375"/>
    <s v="2026-06-23"/>
    <s v="롯데"/>
    <s v="NC"/>
    <n v="3001"/>
    <n v="11001"/>
    <n v="39.23"/>
    <n v="0.392278922212418"/>
    <x v="5"/>
    <n v="0.607721077787582"/>
    <x v="2"/>
    <x v="1"/>
    <n v="0.1538827528121363"/>
    <n v="1"/>
    <n v="0"/>
  </r>
  <r>
    <n v="20260376"/>
    <s v="2026-06-24"/>
    <s v="LG"/>
    <s v="삼성"/>
    <n v="5002"/>
    <n v="1001"/>
    <n v="46.9"/>
    <n v="0.4689767841454398"/>
    <x v="5"/>
    <n v="0.5310232158545602"/>
    <x v="3"/>
    <x v="1"/>
    <n v="0.2199392240673984"/>
    <n v="1"/>
    <n v="0"/>
  </r>
  <r>
    <n v="20260377"/>
    <s v="2026-06-24"/>
    <s v="키움"/>
    <s v="KIA"/>
    <n v="10001"/>
    <n v="2002"/>
    <n v="66.29000000000001"/>
    <n v="0.6628916392130856"/>
    <x v="5"/>
    <n v="0.6628916392130856"/>
    <x v="1"/>
    <x v="0"/>
    <n v="0.4394253253386116"/>
    <n v="0"/>
    <n v="0"/>
  </r>
  <r>
    <n v="20260378"/>
    <s v="2026-06-24"/>
    <s v="KT"/>
    <s v="SSG"/>
    <n v="12001"/>
    <n v="9002"/>
    <n v="63.5"/>
    <n v="0.6349878062866734"/>
    <x v="5"/>
    <n v="0.6349878062866734"/>
    <x v="2"/>
    <x v="0"/>
    <n v="0.4032095141327618"/>
    <n v="0"/>
    <n v="0"/>
  </r>
  <r>
    <n v="20260379"/>
    <s v="2026-06-24"/>
    <s v="한화"/>
    <s v="두산"/>
    <n v="7002"/>
    <n v="6002"/>
    <n v="42.19"/>
    <n v="0.4218915319733813"/>
    <x v="5"/>
    <n v="0.5781084680266186"/>
    <x v="4"/>
    <x v="1"/>
    <n v="0.334209400804084"/>
    <n v="0"/>
    <n v="1"/>
  </r>
  <r>
    <n v="20260380"/>
    <s v="2026-06-24"/>
    <s v="롯데"/>
    <s v="NC"/>
    <n v="3001"/>
    <n v="11001"/>
    <n v="58.02"/>
    <n v="0.5801756654713783"/>
    <x v="5"/>
    <n v="0.5801756654713783"/>
    <x v="4"/>
    <x v="0"/>
    <n v="0.1762524718624"/>
    <n v="1"/>
    <n v="1"/>
  </r>
  <r>
    <n v="20260381"/>
    <s v="2026-06-25"/>
    <s v="LG"/>
    <s v="삼성"/>
    <n v="5002"/>
    <n v="1001"/>
    <n v="36.55"/>
    <n v="0.3655379379463268"/>
    <x v="5"/>
    <n v="0.6344620620536732"/>
    <x v="2"/>
    <x v="1"/>
    <n v="0.402542108185399"/>
    <n v="0"/>
    <n v="1"/>
  </r>
  <r>
    <n v="20260382"/>
    <s v="2026-06-25"/>
    <s v="키움"/>
    <s v="KIA"/>
    <n v="10001"/>
    <n v="2002"/>
    <n v="50"/>
    <n v="0.5000081756826891"/>
    <x v="5"/>
    <n v="0.5000081756826891"/>
    <x v="3"/>
    <x v="0"/>
    <n v="0.2500081757495309"/>
    <n v="0"/>
    <n v="0"/>
  </r>
  <r>
    <n v="20260383"/>
    <s v="2026-06-25"/>
    <s v="KT"/>
    <s v="SSG"/>
    <n v="12001"/>
    <n v="9002"/>
    <n v="68.01000000000001"/>
    <n v="0.6801026396734091"/>
    <x v="5"/>
    <n v="0.6801026396734091"/>
    <x v="1"/>
    <x v="0"/>
    <n v="0.1023343211439207"/>
    <n v="1"/>
    <n v="1"/>
  </r>
  <r>
    <n v="20260384"/>
    <s v="2026-06-25"/>
    <s v="한화"/>
    <s v="두산"/>
    <n v="7002"/>
    <n v="6002"/>
    <n v="34.9"/>
    <n v="0.3489889809792098"/>
    <x v="5"/>
    <n v="0.6510110190207903"/>
    <x v="1"/>
    <x v="1"/>
    <n v="0.4238153468864878"/>
    <n v="0"/>
    <n v="1"/>
  </r>
  <r>
    <n v="20260385"/>
    <s v="2026-06-25"/>
    <s v="롯데"/>
    <s v="NC"/>
    <n v="3001"/>
    <n v="11001"/>
    <n v="52.13"/>
    <n v="0.5212518192595811"/>
    <x v="5"/>
    <n v="0.5212518192595811"/>
    <x v="3"/>
    <x v="0"/>
    <n v="0.271703459081423"/>
    <n v="0"/>
    <n v="0"/>
  </r>
  <r>
    <n v="20260386"/>
    <s v="2026-06-26"/>
    <s v="두산"/>
    <s v="KIA"/>
    <n v="6002"/>
    <n v="2002"/>
    <n v="60.81"/>
    <n v="0.6081054919859112"/>
    <x v="5"/>
    <n v="0.6081054919859112"/>
    <x v="2"/>
    <x v="0"/>
    <n v="0.1535813054116047"/>
    <n v="1"/>
    <n v="1"/>
  </r>
  <r>
    <n v="20260387"/>
    <s v="2026-06-26"/>
    <s v="SSG"/>
    <s v="한화"/>
    <n v="9002"/>
    <n v="7002"/>
    <n v="46.47"/>
    <n v="0.4646658054906409"/>
    <x v="5"/>
    <n v="0.535334194509359"/>
    <x v="3"/>
    <x v="1"/>
    <n v="0.2865826998109843"/>
    <n v="0"/>
    <n v="1"/>
  </r>
  <r>
    <n v="20260388"/>
    <s v="2026-06-26"/>
    <s v="삼성"/>
    <s v="KT"/>
    <n v="1001"/>
    <n v="12001"/>
    <n v="44.66"/>
    <n v="0.4465818778993318"/>
    <x v="5"/>
    <n v="0.5534181221006682"/>
    <x v="4"/>
    <x v="1"/>
    <n v="0.1994353736680937"/>
    <n v="1"/>
    <n v="0"/>
  </r>
  <r>
    <n v="20260389"/>
    <s v="2026-06-26"/>
    <s v="롯데"/>
    <s v="LG"/>
    <n v="3001"/>
    <n v="5002"/>
    <n v="45.96"/>
    <n v="0.4596271305060565"/>
    <x v="5"/>
    <n v="0.5403728694939435"/>
    <x v="3"/>
    <x v="1"/>
    <n v="0.2112570990972315"/>
    <n v="1"/>
    <n v="0"/>
  </r>
  <r>
    <n v="20260390"/>
    <s v="2026-06-26"/>
    <s v="NC"/>
    <s v="키움"/>
    <n v="11001"/>
    <n v="10001"/>
    <n v="54.87"/>
    <n v="0.5487214003838302"/>
    <x v="5"/>
    <n v="0.5487214003838302"/>
    <x v="3"/>
    <x v="0"/>
    <n v="0.2036523744715313"/>
    <n v="1"/>
    <n v="1"/>
  </r>
  <r>
    <n v="20260401"/>
    <s v="2026-06-30"/>
    <s v="두산"/>
    <s v="롯데"/>
    <n v="6002"/>
    <n v="3001"/>
    <n v="59.09"/>
    <n v="0.5908539060832126"/>
    <x v="5"/>
    <n v="0.5908539060832126"/>
    <x v="4"/>
    <x v="0"/>
    <n v="0.1674005261673646"/>
    <n v="1"/>
    <n v="1"/>
  </r>
  <r>
    <n v="20260402"/>
    <s v="2026-06-30"/>
    <s v="키움"/>
    <s v="LG"/>
    <n v="10001"/>
    <n v="5002"/>
    <n v="55.26"/>
    <n v="0.5526165513117942"/>
    <x v="5"/>
    <n v="0.5526165513117942"/>
    <x v="4"/>
    <x v="0"/>
    <n v="0.2001519501601525"/>
    <n v="1"/>
    <n v="1"/>
  </r>
  <r>
    <n v="20260403"/>
    <s v="2026-06-30"/>
    <s v="한화"/>
    <s v="KT"/>
    <n v="7002"/>
    <n v="12001"/>
    <n v="55.89"/>
    <n v="0.5589171427660273"/>
    <x v="5"/>
    <n v="0.5589171427660273"/>
    <x v="4"/>
    <x v="0"/>
    <s v=""/>
    <s v="cancel"/>
    <s v=""/>
  </r>
  <r>
    <n v="20260404"/>
    <s v="2026-06-30"/>
    <s v="KIA"/>
    <s v="SSG"/>
    <n v="2002"/>
    <n v="9002"/>
    <n v="75.5"/>
    <n v="0.7550083514821617"/>
    <x v="5"/>
    <n v="0.7550083514821617"/>
    <x v="0"/>
    <x v="0"/>
    <n v="0.06002090784348801"/>
    <n v="1"/>
    <n v="1"/>
  </r>
  <r>
    <n v="20260405"/>
    <s v="2026-06-30"/>
    <s v="NC"/>
    <s v="삼성"/>
    <n v="11001"/>
    <n v="1001"/>
    <n v="35.81"/>
    <n v="0.3581486075564143"/>
    <x v="5"/>
    <n v="0.6418513924435857"/>
    <x v="2"/>
    <x v="1"/>
    <n v="0.4119732099817698"/>
    <n v="0"/>
    <n v="1"/>
  </r>
  <r>
    <n v="20260406"/>
    <s v="2026-07-01"/>
    <s v="두산"/>
    <s v="롯데"/>
    <n v="6002"/>
    <n v="3001"/>
    <n v="57.96"/>
    <n v="0.5795631570494646"/>
    <x v="5"/>
    <n v="0.5795631570494646"/>
    <x v="4"/>
    <x v="0"/>
    <n v="0.3358934530091424"/>
    <n v="0"/>
    <n v="0"/>
  </r>
  <r>
    <n v="20260407"/>
    <s v="2026-07-01"/>
    <s v="키움"/>
    <s v="LG"/>
    <n v="10001"/>
    <n v="5002"/>
    <n v="60.99"/>
    <n v="0.6099258707371832"/>
    <x v="5"/>
    <n v="0.6099258707371832"/>
    <x v="2"/>
    <x v="0"/>
    <n v="0.3720095677945111"/>
    <n v="0"/>
    <n v="0"/>
  </r>
  <r>
    <n v="20260408"/>
    <s v="2026-07-01"/>
    <s v="한화"/>
    <s v="KT"/>
    <n v="7002"/>
    <n v="12001"/>
    <n v="37.55"/>
    <n v="0.3754609779514909"/>
    <x v="5"/>
    <n v="0.6245390220485091"/>
    <x v="2"/>
    <x v="1"/>
    <n v="0.3900489900613081"/>
    <n v="0"/>
    <n v="1"/>
  </r>
  <r>
    <n v="20260409"/>
    <s v="2026-07-01"/>
    <s v="KIA"/>
    <s v="SSG"/>
    <n v="2002"/>
    <n v="9002"/>
    <n v="58.6"/>
    <n v="0.5859559802536468"/>
    <x v="5"/>
    <n v="0.5859559802536468"/>
    <x v="4"/>
    <x v="0"/>
    <s v=""/>
    <s v="draw"/>
    <s v=""/>
  </r>
  <r>
    <n v="20260410"/>
    <s v="2026-07-01"/>
    <s v="NC"/>
    <s v="삼성"/>
    <n v="11001"/>
    <n v="1001"/>
    <n v="41.81"/>
    <n v="0.4181227027093314"/>
    <x v="5"/>
    <n v="0.5818772972906686"/>
    <x v="4"/>
    <x v="1"/>
    <n v="0.1748265945209559"/>
    <n v="1"/>
    <n v="0"/>
  </r>
  <r>
    <n v="20260411"/>
    <s v="2026-07-02"/>
    <s v="두산"/>
    <s v="롯데"/>
    <n v="6002"/>
    <n v="3001"/>
    <n v="63.43"/>
    <n v="0.63434944139121"/>
    <x v="5"/>
    <n v="0.63434944139121"/>
    <x v="2"/>
    <x v="0"/>
    <n v="0.1337003310109202"/>
    <n v="1"/>
    <n v="1"/>
  </r>
  <r>
    <n v="20260412"/>
    <s v="2026-07-02"/>
    <s v="키움"/>
    <s v="LG"/>
    <n v="10001"/>
    <n v="5002"/>
    <n v="48.88"/>
    <n v="0.4888121034311633"/>
    <x v="5"/>
    <n v="0.5111878965688367"/>
    <x v="3"/>
    <x v="1"/>
    <n v="0.2613130655984717"/>
    <n v="0"/>
    <n v="1"/>
  </r>
  <r>
    <n v="20260413"/>
    <s v="2026-07-02"/>
    <s v="한화"/>
    <s v="KT"/>
    <n v="7002"/>
    <n v="12001"/>
    <n v="49.32"/>
    <n v="0.4931957445177669"/>
    <x v="5"/>
    <n v="0.5068042554822332"/>
    <x v="3"/>
    <x v="1"/>
    <n v="0.2432420424104343"/>
    <n v="1"/>
    <n v="0"/>
  </r>
  <r>
    <n v="20260414"/>
    <s v="2026-07-02"/>
    <s v="KIA"/>
    <s v="SSG"/>
    <n v="2002"/>
    <n v="9002"/>
    <n v="73.23"/>
    <n v="0.7323212513219041"/>
    <x v="5"/>
    <n v="0.7323212513219041"/>
    <x v="0"/>
    <x v="0"/>
    <n v="0.07165191249387125"/>
    <n v="1"/>
    <n v="1"/>
  </r>
  <r>
    <n v="20260415"/>
    <s v="2026-07-02"/>
    <s v="NC"/>
    <s v="삼성"/>
    <n v="11001"/>
    <n v="1001"/>
    <n v="48.91"/>
    <n v="0.4890979505705955"/>
    <x v="5"/>
    <n v="0.5109020494294045"/>
    <x v="3"/>
    <x v="1"/>
    <n v="0.2610209041111657"/>
    <n v="0"/>
    <n v="1"/>
  </r>
  <r>
    <n v="20260416"/>
    <s v="2026-07-03"/>
    <s v="LG"/>
    <s v="한화"/>
    <n v="5002"/>
    <n v="7002"/>
    <n v="48.05"/>
    <n v="0.4805204879365433"/>
    <x v="5"/>
    <n v="0.5194795120634568"/>
    <x v="3"/>
    <x v="1"/>
    <n v="0.2698589634536872"/>
    <n v="0"/>
    <n v="1"/>
  </r>
  <r>
    <n v="20260417"/>
    <s v="2026-07-03"/>
    <s v="키움"/>
    <s v="두산"/>
    <n v="10001"/>
    <n v="6002"/>
    <n v="45.35"/>
    <n v="0.4535163145979058"/>
    <x v="5"/>
    <n v="0.5464836854020942"/>
    <x v="3"/>
    <x v="1"/>
    <n v="0.2056770476064666"/>
    <n v="1"/>
    <n v="0"/>
  </r>
  <r>
    <n v="20260418"/>
    <s v="2026-07-03"/>
    <s v="SSG"/>
    <s v="삼성"/>
    <n v="9002"/>
    <n v="1001"/>
    <n v="31.75"/>
    <n v="0.3175001002882944"/>
    <x v="5"/>
    <n v="0.6824998997117055"/>
    <x v="1"/>
    <x v="1"/>
    <n v="0.4658061131064881"/>
    <n v="0"/>
    <n v="1"/>
  </r>
  <r>
    <n v="20260419"/>
    <s v="2026-07-03"/>
    <s v="KT"/>
    <s v="롯데"/>
    <n v="12001"/>
    <n v="3001"/>
    <n v="54.28"/>
    <n v="0.5428177493863043"/>
    <x v="5"/>
    <n v="0.5428177493863043"/>
    <x v="3"/>
    <x v="0"/>
    <n v="0.2946511090488127"/>
    <n v="0"/>
    <n v="0"/>
  </r>
  <r>
    <n v="20260420"/>
    <s v="2026-07-03"/>
    <s v="KIA"/>
    <s v="NC"/>
    <n v="2002"/>
    <n v="11001"/>
    <n v="44.2"/>
    <n v="0.4420419571591856"/>
    <x v="5"/>
    <n v="0.5579580428408144"/>
    <x v="4"/>
    <x v="1"/>
    <n v="0.3113171775707521"/>
    <n v="0"/>
    <n v="1"/>
  </r>
  <r>
    <n v="20260427"/>
    <s v="2026-07-05"/>
    <s v="키움"/>
    <s v="두산"/>
    <n v="10001"/>
    <n v="6002"/>
    <n v="25.87"/>
    <n v="0.2587240137812095"/>
    <x v="5"/>
    <n v="0.7412759862187905"/>
    <x v="0"/>
    <x v="1"/>
    <n v="0.5494900877446406"/>
    <n v="0"/>
    <n v="1"/>
  </r>
  <r>
    <n v="20260426"/>
    <s v="2026-07-05"/>
    <s v="LG"/>
    <s v="한화"/>
    <n v="5002"/>
    <n v="7002"/>
    <n v="36.53"/>
    <n v="0.3653462025604961"/>
    <x v="5"/>
    <n v="0.6346537974395039"/>
    <x v="2"/>
    <x v="1"/>
    <s v=""/>
    <s v="cancel"/>
    <s v=""/>
  </r>
  <r>
    <n v="20260428"/>
    <s v="2026-07-05"/>
    <s v="SSG"/>
    <s v="삼성"/>
    <n v="9002"/>
    <n v="1001"/>
    <n v="34.77"/>
    <n v="0.3476886483007118"/>
    <x v="5"/>
    <n v="0.6523113516992882"/>
    <x v="1"/>
    <x v="1"/>
    <n v="0.4255100995557525"/>
    <n v="0"/>
    <n v="1"/>
  </r>
  <r>
    <n v="20260429"/>
    <s v="2026-07-05"/>
    <s v="KT"/>
    <s v="롯데"/>
    <n v="12001"/>
    <n v="3001"/>
    <n v="41.62"/>
    <n v="0.4161546727336852"/>
    <x v="5"/>
    <n v="0.5838453272663148"/>
    <x v="4"/>
    <x v="1"/>
    <n v="0.1731847116380807"/>
    <n v="1"/>
    <n v="0"/>
  </r>
  <r>
    <n v="20260430"/>
    <s v="2026-07-05"/>
    <s v="KIA"/>
    <s v="NC"/>
    <n v="2002"/>
    <n v="11001"/>
    <n v="40.51"/>
    <n v="0.4050819769559774"/>
    <x v="5"/>
    <n v="0.5949180230440225"/>
    <x v="4"/>
    <x v="1"/>
    <s v=""/>
    <s v="cancel"/>
    <s v=""/>
  </r>
  <r>
    <n v="20260431"/>
    <s v="2026-07-07"/>
    <s v="두산"/>
    <s v="SSG"/>
    <n v="6002"/>
    <n v="9002"/>
    <n v="66.87"/>
    <n v="0.6687026423267178"/>
    <x v="5"/>
    <n v="0.6687026423267178"/>
    <x v="1"/>
    <x v="0"/>
    <n v="0.4471632238547343"/>
    <n v="0"/>
    <n v="0"/>
  </r>
  <r>
    <n v="20260432"/>
    <s v="2026-07-07"/>
    <s v="KT"/>
    <s v="키움"/>
    <n v="12001"/>
    <n v="10001"/>
    <n v="51.51"/>
    <n v="0.5150897099314388"/>
    <x v="5"/>
    <n v="0.5150897099314388"/>
    <x v="3"/>
    <x v="0"/>
    <n v="0.2351379894143762"/>
    <n v="1"/>
    <n v="1"/>
  </r>
  <r>
    <n v="20260433"/>
    <s v="2026-07-07"/>
    <s v="한화"/>
    <s v="NC"/>
    <n v="7002"/>
    <n v="11001"/>
    <n v="45.32"/>
    <n v="0.453209564072941"/>
    <x v="5"/>
    <n v="0.546790435927059"/>
    <x v="3"/>
    <x v="1"/>
    <n v="0.2989797808213032"/>
    <n v="0"/>
    <n v="1"/>
  </r>
  <r>
    <n v="20260434"/>
    <s v="2026-07-07"/>
    <s v="삼성"/>
    <s v="LG"/>
    <n v="1001"/>
    <n v="5002"/>
    <n v="54.22"/>
    <n v="0.542192359206871"/>
    <x v="5"/>
    <n v="0.542192359206871"/>
    <x v="3"/>
    <x v="0"/>
    <n v="0.2095878359685706"/>
    <n v="1"/>
    <n v="1"/>
  </r>
  <r>
    <n v="20260435"/>
    <s v="2026-07-07"/>
    <s v="롯데"/>
    <s v="KIA"/>
    <n v="3001"/>
    <n v="2002"/>
    <n v="69.62"/>
    <n v="0.6962445472824347"/>
    <x v="5"/>
    <n v="0.6962445472824347"/>
    <x v="1"/>
    <x v="0"/>
    <n v="0.09226737505565306"/>
    <n v="1"/>
    <n v="1"/>
  </r>
  <r>
    <n v="20260436"/>
    <s v="2026-07-08"/>
    <s v="두산"/>
    <s v="SSG"/>
    <n v="6002"/>
    <n v="9002"/>
    <n v="79.36"/>
    <n v="0.7935790443245425"/>
    <x v="5"/>
    <n v="0.7935790443245425"/>
    <x v="0"/>
    <x v="0"/>
    <n v="0.04260961094196918"/>
    <n v="1"/>
    <n v="1"/>
  </r>
  <r>
    <n v="20260437"/>
    <s v="2026-07-08"/>
    <s v="KT"/>
    <s v="키움"/>
    <n v="12001"/>
    <n v="10001"/>
    <n v="61.47"/>
    <n v="0.6147455121596511"/>
    <x v="5"/>
    <n v="0.6147455121596511"/>
    <x v="2"/>
    <x v="0"/>
    <n v="0.1484210204011295"/>
    <n v="1"/>
    <n v="1"/>
  </r>
  <r>
    <n v="20260438"/>
    <s v="2026-07-08"/>
    <s v="한화"/>
    <s v="NC"/>
    <n v="7002"/>
    <n v="11001"/>
    <n v="55.07"/>
    <n v="0.5507059434608977"/>
    <x v="5"/>
    <n v="0.5507059434608977"/>
    <x v="4"/>
    <x v="0"/>
    <s v=""/>
    <s v="cancel"/>
    <s v=""/>
  </r>
  <r>
    <n v="20260439"/>
    <s v="2026-07-08"/>
    <s v="삼성"/>
    <s v="LG"/>
    <n v="1001"/>
    <n v="5002"/>
    <n v="43.05"/>
    <n v="0.4304932685587216"/>
    <x v="5"/>
    <n v="0.5695067314412784"/>
    <x v="4"/>
    <x v="1"/>
    <n v="0.3243379171569284"/>
    <n v="0"/>
    <n v="1"/>
  </r>
  <r>
    <n v="20260440"/>
    <s v="2026-07-08"/>
    <s v="롯데"/>
    <s v="KIA"/>
    <n v="3001"/>
    <n v="2002"/>
    <n v="42.42"/>
    <n v="0.4242279126984554"/>
    <x v="5"/>
    <n v="0.5757720873015446"/>
    <x v="4"/>
    <x v="1"/>
    <n v="0.1799693219124883"/>
    <n v="1"/>
    <n v="0"/>
  </r>
  <r>
    <n v="20260441"/>
    <s v="2026-07-09"/>
    <s v="두산"/>
    <s v="SSG"/>
    <n v="6002"/>
    <n v="9002"/>
    <n v="68.94"/>
    <n v="0.6894339409218871"/>
    <x v="5"/>
    <n v="0.6894339409218871"/>
    <x v="1"/>
    <x v="0"/>
    <n v="0.09645127705130989"/>
    <n v="1"/>
    <n v="1"/>
  </r>
  <r>
    <n v="20260442"/>
    <s v="2026-07-09"/>
    <s v="KT"/>
    <s v="키움"/>
    <n v="12001"/>
    <n v="10001"/>
    <n v="58.3"/>
    <n v="0.5829923007223874"/>
    <x v="5"/>
    <n v="0.5829923007223874"/>
    <x v="4"/>
    <x v="0"/>
    <s v=""/>
    <s v="cancel"/>
    <s v=""/>
  </r>
  <r>
    <n v="20260443"/>
    <s v="2026-07-09"/>
    <s v="한화"/>
    <s v="NC"/>
    <n v="7002"/>
    <n v="11001"/>
    <n v="53.53"/>
    <n v="0.5352959447227447"/>
    <x v="5"/>
    <n v="0.5352959447227447"/>
    <x v="3"/>
    <x v="0"/>
    <n v="0.2159498589911264"/>
    <n v="1"/>
    <n v="1"/>
  </r>
  <r>
    <n v="20260444"/>
    <s v="2026-07-09"/>
    <s v="삼성"/>
    <s v="LG"/>
    <n v="1001"/>
    <n v="5002"/>
    <n v="49.47"/>
    <n v="0.4946605351350138"/>
    <x v="5"/>
    <n v="0.5053394648649863"/>
    <x v="3"/>
    <x v="1"/>
    <n v="0.2446890450200582"/>
    <n v="1"/>
    <n v="0"/>
  </r>
  <r>
    <n v="20260445"/>
    <s v="2026-07-09"/>
    <s v="롯데"/>
    <s v="KIA"/>
    <n v="3001"/>
    <n v="2002"/>
    <n v="62.36"/>
    <n v="0.6236192461138091"/>
    <x v="5"/>
    <n v="0.6236192461138091"/>
    <x v="2"/>
    <x v="0"/>
    <n v="0.3889009641235557"/>
    <n v="0"/>
    <n v="0"/>
  </r>
  <r>
    <n v="20260446"/>
    <s v="2026-07-16"/>
    <s v="LG"/>
    <s v="KT"/>
    <n v="5002"/>
    <n v="12001"/>
    <n v="53.72"/>
    <n v="0.5372374278347484"/>
    <x v="5"/>
    <n v="0.5372374278347484"/>
    <x v="3"/>
    <x v="0"/>
    <n v="0.2886240538664965"/>
    <n v="0"/>
    <n v="0"/>
  </r>
  <r>
    <n v="20260447"/>
    <s v="2026-07-16"/>
    <s v="SSG"/>
    <s v="KIA"/>
    <n v="9002"/>
    <n v="2002"/>
    <n v="31.09"/>
    <n v="0.3108671565453269"/>
    <x v="5"/>
    <n v="0.6891328434546731"/>
    <x v="1"/>
    <x v="1"/>
    <n v="0.0966383890185768"/>
    <n v="1"/>
    <n v="0"/>
  </r>
  <r>
    <n v="20260448"/>
    <s v="2026-07-16"/>
    <s v="한화"/>
    <s v="키움"/>
    <n v="7002"/>
    <n v="10001"/>
    <n v="64.22"/>
    <n v="0.6422227154593626"/>
    <x v="5"/>
    <n v="0.6422227154593626"/>
    <x v="2"/>
    <x v="0"/>
    <n v="0.4124500162519974"/>
    <n v="0"/>
    <n v="0"/>
  </r>
  <r>
    <n v="20260449"/>
    <s v="2026-07-16"/>
    <s v="삼성"/>
    <s v="롯데"/>
    <n v="1001"/>
    <n v="3001"/>
    <n v="40.6"/>
    <n v="0.4060485158609815"/>
    <x v="5"/>
    <n v="0.5939514841390185"/>
    <x v="4"/>
    <x v="1"/>
    <n v="0.1648753972329057"/>
    <n v="1"/>
    <n v="0"/>
  </r>
  <r>
    <n v="20260450"/>
    <s v="2026-07-16"/>
    <s v="NC"/>
    <s v="두산"/>
    <n v="11001"/>
    <n v="6002"/>
    <n v="52.77"/>
    <n v="0.5276554158362103"/>
    <x v="5"/>
    <n v="0.5276554158362103"/>
    <x v="3"/>
    <x v="0"/>
    <n v="0.2231094061888634"/>
    <n v="1"/>
    <n v="1"/>
  </r>
  <r>
    <n v="20260451"/>
    <s v="2026-07-17"/>
    <s v="LG"/>
    <s v="KT"/>
    <n v="5002"/>
    <n v="12001"/>
    <n v="39.44"/>
    <n v="0.3943538546945125"/>
    <x v="5"/>
    <n v="0.6056461453054875"/>
    <x v="2"/>
    <x v="1"/>
    <n v="0.3668072533233958"/>
    <n v="0"/>
    <n v="1"/>
  </r>
  <r>
    <n v="20260452"/>
    <s v="2026-07-17"/>
    <s v="SSG"/>
    <s v="KIA"/>
    <n v="9002"/>
    <n v="2002"/>
    <n v="57.72"/>
    <n v="0.5772134643763694"/>
    <x v="5"/>
    <n v="0.5772134643763694"/>
    <x v="4"/>
    <x v="0"/>
    <n v="0.3331753834573703"/>
    <n v="0"/>
    <n v="0"/>
  </r>
  <r>
    <n v="20260453"/>
    <s v="2026-07-17"/>
    <s v="한화"/>
    <s v="키움"/>
    <n v="7002"/>
    <n v="10001"/>
    <n v="54.92"/>
    <n v="0.5491968736215119"/>
    <x v="5"/>
    <n v="0.5491968736215119"/>
    <x v="3"/>
    <x v="0"/>
    <n v="0.301617205995643"/>
    <n v="0"/>
    <n v="0"/>
  </r>
  <r>
    <n v="20260454"/>
    <s v="2026-07-17"/>
    <s v="삼성"/>
    <s v="롯데"/>
    <n v="1001"/>
    <n v="3001"/>
    <n v="52.13"/>
    <n v="0.5213383694722645"/>
    <x v="5"/>
    <n v="0.5213383694722645"/>
    <x v="3"/>
    <x v="0"/>
    <s v=""/>
    <s v="cancel"/>
    <s v=""/>
  </r>
  <r>
    <n v="20260455"/>
    <s v="2026-07-17"/>
    <s v="NC"/>
    <s v="두산"/>
    <n v="11001"/>
    <n v="6002"/>
    <n v="35.99"/>
    <n v="0.3599282775304991"/>
    <x v="5"/>
    <n v="0.6400717224695009"/>
    <x v="2"/>
    <x v="1"/>
    <n v="0.4096918099050739"/>
    <n v="0"/>
    <n v="1"/>
  </r>
  <r>
    <n v="20260456"/>
    <s v="2026-07-18"/>
    <s v="LG"/>
    <s v="KT"/>
    <n v="5002"/>
    <n v="12001"/>
    <n v="47.58"/>
    <n v="0.4757542993428413"/>
    <x v="5"/>
    <n v="0.5242457006571587"/>
    <x v="3"/>
    <x v="1"/>
    <n v="0.2748335546575152"/>
    <n v="0"/>
    <n v="1"/>
  </r>
  <r>
    <n v="20260457"/>
    <s v="2026-07-18"/>
    <s v="SSG"/>
    <s v="KIA"/>
    <n v="9002"/>
    <n v="2002"/>
    <n v="36.12"/>
    <n v="0.3611664680814391"/>
    <x v="5"/>
    <n v="0.638833531918561"/>
    <x v="2"/>
    <x v="1"/>
    <n v="0.4081082815035431"/>
    <n v="0"/>
    <n v="1"/>
  </r>
  <r>
    <n v="20260458"/>
    <s v="2026-07-18"/>
    <s v="한화"/>
    <s v="키움"/>
    <n v="7002"/>
    <n v="10001"/>
    <n v="36.28"/>
    <n v="0.3628032661980033"/>
    <x v="5"/>
    <n v="0.6371967338019967"/>
    <x v="2"/>
    <x v="1"/>
    <n v="0.4060196775679327"/>
    <n v="0"/>
    <n v="1"/>
  </r>
  <r>
    <n v="20260459"/>
    <s v="2026-07-18"/>
    <s v="삼성"/>
    <s v="롯데"/>
    <n v="1001"/>
    <n v="3001"/>
    <n v="37.2"/>
    <n v="0.372001481857663"/>
    <x v="5"/>
    <n v="0.627998518142337"/>
    <x v="2"/>
    <x v="1"/>
    <n v="0.1383851025042972"/>
    <n v="1"/>
    <n v="0"/>
  </r>
  <r>
    <n v="20260460"/>
    <s v="2026-07-18"/>
    <s v="NC"/>
    <s v="두산"/>
    <n v="11001"/>
    <n v="6002"/>
    <n v="48.93"/>
    <n v="0.4893477798755986"/>
    <x v="5"/>
    <n v="0.5106522201244015"/>
    <x v="3"/>
    <x v="1"/>
    <n v="0.2607656899179802"/>
    <n v="0"/>
    <n v="1"/>
  </r>
  <r>
    <n v="20260461"/>
    <s v="2026-07-19"/>
    <s v="LG"/>
    <s v="KT"/>
    <n v="5002"/>
    <n v="12001"/>
    <n v="35.25"/>
    <n v="0.3525404153253947"/>
    <x v="5"/>
    <n v="0.6474595846746053"/>
    <x v="2"/>
    <x v="1"/>
    <n v="0.4192039137870124"/>
    <n v="0"/>
    <n v="1"/>
  </r>
  <r>
    <n v="20260462"/>
    <s v="2026-07-19"/>
    <s v="SSG"/>
    <s v="KIA"/>
    <n v="9002"/>
    <n v="2002"/>
    <n v="42.2"/>
    <n v="0.422019334890119"/>
    <x v="5"/>
    <n v="0.577980665109881"/>
    <x v="4"/>
    <x v="1"/>
    <n v="0.3340616492408604"/>
    <n v="0"/>
    <n v="1"/>
  </r>
  <r>
    <n v="20260463"/>
    <s v="2026-07-19"/>
    <s v="한화"/>
    <s v="키움"/>
    <n v="7002"/>
    <n v="10001"/>
    <n v="59.34"/>
    <n v="0.5933691721145147"/>
    <x v="5"/>
    <n v="0.5933691721145147"/>
    <x v="4"/>
    <x v="0"/>
    <s v=""/>
    <s v="draw"/>
    <s v=""/>
  </r>
  <r>
    <n v="20260464"/>
    <s v="2026-07-19"/>
    <s v="삼성"/>
    <s v="롯데"/>
    <n v="1001"/>
    <n v="3001"/>
    <n v="52.33"/>
    <n v="0.5233001343303049"/>
    <x v="5"/>
    <n v="0.5233001343303049"/>
    <x v="3"/>
    <x v="0"/>
    <n v="0.2738430305901151"/>
    <n v="0"/>
    <n v="0"/>
  </r>
  <r>
    <n v="20260465"/>
    <s v="2026-07-19"/>
    <s v="NC"/>
    <s v="두산"/>
    <n v="11001"/>
    <n v="6002"/>
    <n v="51.63"/>
    <n v="0.5162612495209554"/>
    <x v="5"/>
    <n v="0.5162612495209554"/>
    <x v="3"/>
    <x v="0"/>
    <n v="0.2665256777569382"/>
    <n v="0"/>
    <n v="0"/>
  </r>
  <r>
    <m/>
    <m/>
    <m/>
    <m/>
    <m/>
    <m/>
    <m/>
    <m/>
    <x v="7"/>
    <m/>
    <x v="5"/>
    <x v="2"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1" cacheId="10" dataOnRows="0" dataCaption="값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:D12" firstHeaderRow="1" firstDataRow="2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9">
        <item t="data" sd="1" x="3"/>
        <item t="data" sd="1" x="4"/>
        <item t="data" sd="1" x="6"/>
        <item t="data" sd="1" x="5"/>
        <item t="data" sd="1" x="0"/>
        <item t="data" sd="1" x="2"/>
        <item t="data" sd="1" x="1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accuracy" fld="14" subtotal="average" showDataAs="normal" baseField="0" baseItem="3"/>
    <dataField name="Brier Score" fld="12" subtotal="average" showDataAs="normal" baseField="12" baseItem="0"/>
    <dataField name="경기 수" fld="14" subtotal="countNums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4" cacheId="10" dataOnRows="0" dataCaption="값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2:P17" firstHeaderRow="1" firstDataRow="2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0" x="3"/>
        <item t="data" sd="0" x="4"/>
        <item t="data" sd="0" x="6"/>
        <item t="data" sd="1" x="5"/>
        <item t="data" sd="0" x="0"/>
        <item t="data" sd="0" x="2"/>
        <item t="data" sd="0" x="1"/>
        <item t="data" sd="0" x="7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4"/>
        <item t="data" sd="1" x="2"/>
        <item t="data" sd="1" x="1"/>
        <item t="data" sd="1" x="0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8"/>
    <field x="10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vg Predicted Probability" fld="9" subtotal="average" showDataAs="normal" baseField="11" baseItem="0"/>
    <dataField name="Actual Accuracy" fld="14" subtotal="average" showDataAs="normal" baseField="11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피벗 테이블3" cacheId="10" dataOnRows="0" dataCaption="값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2:L20" firstHeaderRow="1" firstDataRow="2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3"/>
        <item t="data" sd="1" x="4"/>
        <item t="data" sd="1" x="6"/>
        <item t="data" sd="1" x="5"/>
        <item t="data" sd="0" x="0"/>
        <item t="data" sd="0" x="2"/>
        <item t="data" sd="0" x="1"/>
        <item t="data" sd="0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8"/>
    <field x="11"/>
  </rowFields>
  <rowItems count="17">
    <i t="data" r="0" i="0">
      <x v="0"/>
    </i>
    <i t="data" r="1" i="0">
      <x v="0"/>
    </i>
    <i t="data" r="1" i="0">
      <x v="1"/>
    </i>
    <i t="data" r="0" i="0">
      <x v="1"/>
    </i>
    <i t="data" r="1" i="0">
      <x v="0"/>
    </i>
    <i t="data" r="1" i="0">
      <x v="1"/>
    </i>
    <i t="data" r="0" i="0">
      <x v="2"/>
    </i>
    <i t="data" r="1" i="0">
      <x v="0"/>
    </i>
    <i t="data" r="1" i="0">
      <x v="1"/>
    </i>
    <i t="data" r="0" i="0">
      <x v="3"/>
    </i>
    <i t="data" r="1" i="0">
      <x v="0"/>
    </i>
    <i t="data" r="1" i="0">
      <x v="1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ccuracy" fld="14" subtotal="average" showDataAs="normal" baseField="10" baseItem="0"/>
    <dataField name="경기 수" fld="13" subtotal="count" showDataAs="normal" baseField="1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피벗 테이블2" cacheId="10" dataOnRows="0" dataCaption="값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2:H17" firstHeaderRow="1" firstDataRow="2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0" x="3"/>
        <item t="data" sd="0" x="4"/>
        <item t="data" sd="0" x="6"/>
        <item t="data" sd="1" x="5"/>
        <item t="data" sd="0" x="0"/>
        <item t="data" sd="0" x="2"/>
        <item t="data" sd="0" x="1"/>
        <item t="data" sd="0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4"/>
        <item t="data" sd="1" x="2"/>
        <item t="data" sd="1" x="1"/>
        <item t="data" sd="1" x="0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8"/>
    <field x="10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ccuracy" fld="14" subtotal="average" showDataAs="normal" baseField="10" baseItem="0"/>
    <dataField name="경기 수" fld="13" subtotal="count" showDataAs="normal" baseField="1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3"/>
  <sheetViews>
    <sheetView tabSelected="1" workbookViewId="0">
      <pane ySplit="1" topLeftCell="A2" activePane="bottomLeft" state="frozen"/>
      <selection pane="bottomLeft" activeCell="N407" sqref="N407"/>
    </sheetView>
  </sheetViews>
  <sheetFormatPr baseColWidth="8" defaultRowHeight="16.9"/>
  <cols>
    <col width="11.9375" customWidth="1" style="6" min="2" max="2"/>
    <col width="9" customWidth="1" style="6" min="10" max="13"/>
    <col width="11.0625" bestFit="1" customWidth="1" style="6" min="18" max="18"/>
    <col width="13" bestFit="1" customWidth="1" style="6" min="19" max="19"/>
    <col width="7.1875" bestFit="1" customWidth="1" style="6" min="20" max="20"/>
  </cols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home_team_code</t>
        </is>
      </c>
      <c r="F1" s="1" t="inlineStr">
        <is>
          <t>away_team_code</t>
        </is>
      </c>
      <c r="G1" s="1" t="inlineStr">
        <is>
          <t>home_win_percent</t>
        </is>
      </c>
      <c r="H1" s="1" t="inlineStr">
        <is>
          <t>home_win_proba</t>
        </is>
      </c>
      <c r="I1" s="1" t="inlineStr">
        <is>
          <t>model_name</t>
        </is>
      </c>
      <c r="J1" s="1" t="inlineStr">
        <is>
          <t>confidence</t>
        </is>
      </c>
      <c r="K1" s="1" t="inlineStr">
        <is>
          <t>confidence_bucket</t>
        </is>
      </c>
      <c r="L1" s="1" t="inlineStr">
        <is>
          <t>prediction_side</t>
        </is>
      </c>
      <c r="M1" s="1" t="inlineStr">
        <is>
          <t>brier_component</t>
        </is>
      </c>
      <c r="N1" s="1" t="inlineStr">
        <is>
          <t>result</t>
        </is>
      </c>
      <c r="O1" s="1" t="inlineStr">
        <is>
          <t>correct</t>
        </is>
      </c>
    </row>
    <row r="2">
      <c r="A2" t="n">
        <v>20260046</v>
      </c>
      <c r="B2" t="inlineStr">
        <is>
          <t>2026-04-08</t>
        </is>
      </c>
      <c r="C2" t="inlineStr">
        <is>
          <t>두산</t>
        </is>
      </c>
      <c r="D2" t="inlineStr">
        <is>
          <t>키움</t>
        </is>
      </c>
      <c r="E2" t="n">
        <v>6002</v>
      </c>
      <c r="F2" t="n">
        <v>10001</v>
      </c>
      <c r="G2" t="n">
        <v>88.72</v>
      </c>
      <c r="H2" t="n">
        <v>0.8872</v>
      </c>
      <c r="I2" t="inlineStr">
        <is>
          <t>full</t>
        </is>
      </c>
      <c r="J2">
        <f>MAX(H2,1-H2)</f>
        <v/>
      </c>
      <c r="K2">
        <f>_xlfn.IFS(
J2&lt;=0.55,"50~55",
J2&lt;=0.6,"55~60",
J2&lt;=0.65,"60~65",
J2&lt;=0.7,"65~70",
TRUE,"70~100"
)</f>
        <v/>
      </c>
      <c r="L2">
        <f>IF(H2&gt;=0.5,"HOME","AWAY")</f>
        <v/>
      </c>
      <c r="M2">
        <f>IF(AND(N2&lt;&gt;"", OR(N2=0, N2=1)), (J2-N2)^2, "")</f>
        <v/>
      </c>
      <c r="N2" t="n">
        <v>1</v>
      </c>
      <c r="O2">
        <f>IF(AND(N2&lt;&gt;"", OR(N2=0, N2=1)), IF(ROUND(H2,0)=N2, 1, 0), "")</f>
        <v/>
      </c>
    </row>
    <row r="3">
      <c r="A3" t="n">
        <v>20260047</v>
      </c>
      <c r="B3" t="inlineStr">
        <is>
          <t>2026-04-08</t>
        </is>
      </c>
      <c r="C3" t="inlineStr">
        <is>
          <t>SSG</t>
        </is>
      </c>
      <c r="D3" t="inlineStr">
        <is>
          <t>한화</t>
        </is>
      </c>
      <c r="E3" t="n">
        <v>9002</v>
      </c>
      <c r="F3" t="n">
        <v>7002</v>
      </c>
      <c r="G3" t="n">
        <v>90.58</v>
      </c>
      <c r="H3" t="n">
        <v>0.9058</v>
      </c>
      <c r="I3" t="inlineStr">
        <is>
          <t>full</t>
        </is>
      </c>
      <c r="J3">
        <f>MAX(H3,1-H3)</f>
        <v/>
      </c>
      <c r="K3">
        <f>_xlfn.IFS(
J3&lt;=0.55,"50~55",
J3&lt;=0.6,"55~60",
J3&lt;=0.65,"60~65",
J3&lt;=0.7,"65~70",
TRUE,"70~100"
)</f>
        <v/>
      </c>
      <c r="L3">
        <f>IF(H3&gt;=0.5,"HOME","AWAY")</f>
        <v/>
      </c>
      <c r="M3">
        <f>IF(AND(N3&lt;&gt;"", OR(N3=0, N3=1)), (J3-N3)^2, "")</f>
        <v/>
      </c>
      <c r="N3" t="n">
        <v>0</v>
      </c>
      <c r="O3">
        <f>IF(AND(N3&lt;&gt;"", OR(N3=0, N3=1)), IF(ROUND(H3,0)=N3, 1, 0), "")</f>
        <v/>
      </c>
    </row>
    <row r="4">
      <c r="A4" t="n">
        <v>20260048</v>
      </c>
      <c r="B4" t="inlineStr">
        <is>
          <t>2026-04-08</t>
        </is>
      </c>
      <c r="C4" t="inlineStr">
        <is>
          <t>KIA</t>
        </is>
      </c>
      <c r="D4" t="inlineStr">
        <is>
          <t>삼성</t>
        </is>
      </c>
      <c r="E4" t="n">
        <v>2002</v>
      </c>
      <c r="F4" t="n">
        <v>1001</v>
      </c>
      <c r="G4" t="n">
        <v>34.54</v>
      </c>
      <c r="H4" t="n">
        <v>0.3454</v>
      </c>
      <c r="I4" t="inlineStr">
        <is>
          <t>full</t>
        </is>
      </c>
      <c r="J4">
        <f>MAX(H4,1-H4)</f>
        <v/>
      </c>
      <c r="K4">
        <f>_xlfn.IFS(
J4&lt;=0.55,"50~55",
J4&lt;=0.6,"55~60",
J4&lt;=0.65,"60~65",
J4&lt;=0.7,"65~70",
TRUE,"70~100"
)</f>
        <v/>
      </c>
      <c r="L4">
        <f>IF(H4&gt;=0.5,"HOME","AWAY")</f>
        <v/>
      </c>
      <c r="M4">
        <f>IF(AND(N4&lt;&gt;"", OR(N4=0, N4=1)), (J4-N4)^2, "")</f>
        <v/>
      </c>
      <c r="N4" t="n">
        <v>1</v>
      </c>
      <c r="O4">
        <f>IF(AND(N4&lt;&gt;"", OR(N4=0, N4=1)), IF(ROUND(H4,0)=N4, 1, 0), "")</f>
        <v/>
      </c>
    </row>
    <row r="5">
      <c r="A5" t="n">
        <v>20260049</v>
      </c>
      <c r="B5" t="inlineStr">
        <is>
          <t>2026-04-08</t>
        </is>
      </c>
      <c r="C5" t="inlineStr">
        <is>
          <t>롯데</t>
        </is>
      </c>
      <c r="D5" t="inlineStr">
        <is>
          <t>KT</t>
        </is>
      </c>
      <c r="E5" t="n">
        <v>3001</v>
      </c>
      <c r="F5" t="n">
        <v>12001</v>
      </c>
      <c r="G5" t="n">
        <v>8.49</v>
      </c>
      <c r="H5" t="n">
        <v>0.0849</v>
      </c>
      <c r="I5" t="inlineStr">
        <is>
          <t>full</t>
        </is>
      </c>
      <c r="J5">
        <f>MAX(H5,1-H5)</f>
        <v/>
      </c>
      <c r="K5">
        <f>_xlfn.IFS(
J5&lt;=0.55,"50~55",
J5&lt;=0.6,"55~60",
J5&lt;=0.65,"60~65",
J5&lt;=0.7,"65~70",
TRUE,"70~100"
)</f>
        <v/>
      </c>
      <c r="L5">
        <f>IF(H5&gt;=0.5,"HOME","AWAY")</f>
        <v/>
      </c>
      <c r="M5">
        <f>IF(AND(N5&lt;&gt;"", OR(N5=0, N5=1)), (J5-N5)^2, "")</f>
        <v/>
      </c>
      <c r="N5" t="n">
        <v>1</v>
      </c>
      <c r="O5">
        <f>IF(AND(N5&lt;&gt;"", OR(N5=0, N5=1)), IF(ROUND(H5,0)=N5, 1, 0), "")</f>
        <v/>
      </c>
      <c r="Q5" t="inlineStr">
        <is>
          <t>avg</t>
        </is>
      </c>
    </row>
    <row r="6">
      <c r="A6" t="n">
        <v>20260050</v>
      </c>
      <c r="B6" t="inlineStr">
        <is>
          <t>2026-04-08</t>
        </is>
      </c>
      <c r="C6" t="inlineStr">
        <is>
          <t>NC</t>
        </is>
      </c>
      <c r="D6" t="inlineStr">
        <is>
          <t>LG</t>
        </is>
      </c>
      <c r="E6" t="n">
        <v>11001</v>
      </c>
      <c r="F6" t="n">
        <v>5002</v>
      </c>
      <c r="G6" t="n">
        <v>12.38</v>
      </c>
      <c r="H6" t="n">
        <v>0.1238</v>
      </c>
      <c r="I6" t="inlineStr">
        <is>
          <t>full</t>
        </is>
      </c>
      <c r="J6">
        <f>MAX(H6,1-H6)</f>
        <v/>
      </c>
      <c r="K6">
        <f>_xlfn.IFS(
J6&lt;=0.55,"50~55",
J6&lt;=0.6,"55~60",
J6&lt;=0.65,"60~65",
J6&lt;=0.7,"65~70",
TRUE,"70~100"
)</f>
        <v/>
      </c>
      <c r="L6">
        <f>IF(H6&gt;=0.5,"HOME","AWAY")</f>
        <v/>
      </c>
      <c r="M6">
        <f>IF(AND(N6&lt;&gt;"", OR(N6=0, N6=1)), (J6-N6)^2, "")</f>
        <v/>
      </c>
      <c r="N6" t="n">
        <v>0</v>
      </c>
      <c r="O6">
        <f>IF(AND(N6&lt;&gt;"", OR(N6=0, N6=1)), IF(ROUND(H6,0)=N6, 1, 0), "")</f>
        <v/>
      </c>
      <c r="Q6">
        <f>AVERAGE(O:O)</f>
        <v/>
      </c>
    </row>
    <row r="7">
      <c r="A7" t="n">
        <v>20260051</v>
      </c>
      <c r="B7" t="inlineStr">
        <is>
          <t>2026-04-09</t>
        </is>
      </c>
      <c r="C7" t="inlineStr">
        <is>
          <t>두산</t>
        </is>
      </c>
      <c r="D7" t="inlineStr">
        <is>
          <t>키움</t>
        </is>
      </c>
      <c r="E7" t="n">
        <v>6002</v>
      </c>
      <c r="F7" t="n">
        <v>10001</v>
      </c>
      <c r="G7" t="n">
        <v>35.08</v>
      </c>
      <c r="H7" t="n">
        <v>0.3508</v>
      </c>
      <c r="I7" t="inlineStr">
        <is>
          <t>sp</t>
        </is>
      </c>
      <c r="J7">
        <f>MAX(H7,1-H7)</f>
        <v/>
      </c>
      <c r="K7">
        <f>_xlfn.IFS(
J7&lt;=0.55,"50~55",
J7&lt;=0.6,"55~60",
J7&lt;=0.65,"60~65",
J7&lt;=0.7,"65~70",
TRUE,"70~100"
)</f>
        <v/>
      </c>
      <c r="L7">
        <f>IF(H7&gt;=0.5,"HOME","AWAY")</f>
        <v/>
      </c>
      <c r="M7">
        <f>IF(AND(N7&lt;&gt;"", OR(N7=0, N7=1)), (J7-N7)^2, "")</f>
        <v/>
      </c>
      <c r="N7" t="inlineStr">
        <is>
          <t>cancel</t>
        </is>
      </c>
      <c r="O7">
        <f>IF(AND(N7&lt;&gt;"", OR(N7=0, N7=1)), IF(ROUND(H7,0)=N7, 1, 0), "")</f>
        <v/>
      </c>
    </row>
    <row r="8">
      <c r="A8" t="n">
        <v>20260052</v>
      </c>
      <c r="B8" t="inlineStr">
        <is>
          <t>2026-04-09</t>
        </is>
      </c>
      <c r="C8" t="inlineStr">
        <is>
          <t>SSG</t>
        </is>
      </c>
      <c r="D8" t="inlineStr">
        <is>
          <t>한화</t>
        </is>
      </c>
      <c r="E8" t="n">
        <v>9002</v>
      </c>
      <c r="F8" t="n">
        <v>7002</v>
      </c>
      <c r="G8" t="n">
        <v>52.72</v>
      </c>
      <c r="H8" t="n">
        <v>0.5272</v>
      </c>
      <c r="I8" t="inlineStr">
        <is>
          <t>sp</t>
        </is>
      </c>
      <c r="J8">
        <f>MAX(H8,1-H8)</f>
        <v/>
      </c>
      <c r="K8">
        <f>_xlfn.IFS(
J8&lt;=0.55,"50~55",
J8&lt;=0.6,"55~60",
J8&lt;=0.65,"60~65",
J8&lt;=0.7,"65~70",
TRUE,"70~100"
)</f>
        <v/>
      </c>
      <c r="L8">
        <f>IF(H8&gt;=0.5,"HOME","AWAY")</f>
        <v/>
      </c>
      <c r="M8">
        <f>IF(AND(N8&lt;&gt;"", OR(N8=0, N8=1)), (J8-N8)^2, "")</f>
        <v/>
      </c>
      <c r="N8" t="inlineStr">
        <is>
          <t>cancel</t>
        </is>
      </c>
      <c r="O8">
        <f>IF(AND(N8&lt;&gt;"", OR(N8=0, N8=1)), IF(ROUND(H8,0)=N8, 1, 0), "")</f>
        <v/>
      </c>
    </row>
    <row r="9">
      <c r="A9" t="n">
        <v>20260053</v>
      </c>
      <c r="B9" t="inlineStr">
        <is>
          <t>2026-04-09</t>
        </is>
      </c>
      <c r="C9" t="inlineStr">
        <is>
          <t>KIA</t>
        </is>
      </c>
      <c r="D9" t="inlineStr">
        <is>
          <t>삼성</t>
        </is>
      </c>
      <c r="E9" t="n">
        <v>2002</v>
      </c>
      <c r="F9" t="n">
        <v>1001</v>
      </c>
      <c r="G9" t="n">
        <v>62.24</v>
      </c>
      <c r="H9" t="n">
        <v>0.6224</v>
      </c>
      <c r="I9" t="inlineStr">
        <is>
          <t>sp</t>
        </is>
      </c>
      <c r="J9">
        <f>MAX(H9,1-H9)</f>
        <v/>
      </c>
      <c r="K9">
        <f>_xlfn.IFS(
J9&lt;=0.55,"50~55",
J9&lt;=0.6,"55~60",
J9&lt;=0.65,"60~65",
J9&lt;=0.7,"65~70",
TRUE,"70~100"
)</f>
        <v/>
      </c>
      <c r="L9">
        <f>IF(H9&gt;=0.5,"HOME","AWAY")</f>
        <v/>
      </c>
      <c r="M9">
        <f>IF(AND(N9&lt;&gt;"", OR(N9=0, N9=1)), (J9-N9)^2, "")</f>
        <v/>
      </c>
      <c r="N9" t="inlineStr">
        <is>
          <t>cancel</t>
        </is>
      </c>
      <c r="O9">
        <f>IF(AND(N9&lt;&gt;"", OR(N9=0, N9=1)), IF(ROUND(H9,0)=N9, 1, 0), "")</f>
        <v/>
      </c>
    </row>
    <row r="10">
      <c r="A10" t="n">
        <v>20260054</v>
      </c>
      <c r="B10" t="inlineStr">
        <is>
          <t>2026-04-09</t>
        </is>
      </c>
      <c r="C10" t="inlineStr">
        <is>
          <t>롯데</t>
        </is>
      </c>
      <c r="D10" t="inlineStr">
        <is>
          <t>KT</t>
        </is>
      </c>
      <c r="E10" t="n">
        <v>3001</v>
      </c>
      <c r="F10" t="n">
        <v>12001</v>
      </c>
      <c r="G10" t="n">
        <v>38.11</v>
      </c>
      <c r="H10" t="n">
        <v>0.3811</v>
      </c>
      <c r="I10" t="inlineStr">
        <is>
          <t>sp</t>
        </is>
      </c>
      <c r="J10">
        <f>MAX(H10,1-H10)</f>
        <v/>
      </c>
      <c r="K10">
        <f>_xlfn.IFS(
J10&lt;=0.55,"50~55",
J10&lt;=0.6,"55~60",
J10&lt;=0.65,"60~65",
J10&lt;=0.7,"65~70",
TRUE,"70~100"
)</f>
        <v/>
      </c>
      <c r="L10">
        <f>IF(H10&gt;=0.5,"HOME","AWAY")</f>
        <v/>
      </c>
      <c r="M10">
        <f>IF(AND(N10&lt;&gt;"", OR(N10=0, N10=1)), (J10-N10)^2, "")</f>
        <v/>
      </c>
      <c r="N10" t="inlineStr">
        <is>
          <t>cancel</t>
        </is>
      </c>
      <c r="O10">
        <f>IF(AND(N10&lt;&gt;"", OR(N10=0, N10=1)), IF(ROUND(H10,0)=N10, 1, 0), "")</f>
        <v/>
      </c>
    </row>
    <row r="11">
      <c r="A11" t="n">
        <v>20260055</v>
      </c>
      <c r="B11" t="inlineStr">
        <is>
          <t>2026-04-09</t>
        </is>
      </c>
      <c r="C11" t="inlineStr">
        <is>
          <t>NC</t>
        </is>
      </c>
      <c r="D11" t="inlineStr">
        <is>
          <t>LG</t>
        </is>
      </c>
      <c r="E11" t="n">
        <v>11001</v>
      </c>
      <c r="F11" t="n">
        <v>5002</v>
      </c>
      <c r="G11" t="n">
        <v>85.29000000000001</v>
      </c>
      <c r="H11" t="n">
        <v>0.8529</v>
      </c>
      <c r="I11" t="inlineStr">
        <is>
          <t>sp</t>
        </is>
      </c>
      <c r="J11">
        <f>MAX(H11,1-H11)</f>
        <v/>
      </c>
      <c r="K11">
        <f>_xlfn.IFS(
J11&lt;=0.55,"50~55",
J11&lt;=0.6,"55~60",
J11&lt;=0.65,"60~65",
J11&lt;=0.7,"65~70",
TRUE,"70~100"
)</f>
        <v/>
      </c>
      <c r="L11">
        <f>IF(H11&gt;=0.5,"HOME","AWAY")</f>
        <v/>
      </c>
      <c r="M11">
        <f>IF(AND(N11&lt;&gt;"", OR(N11=0, N11=1)), (J11-N11)^2, "")</f>
        <v/>
      </c>
      <c r="N11" t="inlineStr">
        <is>
          <t>cancel</t>
        </is>
      </c>
      <c r="O11">
        <f>IF(AND(N11&lt;&gt;"", OR(N11=0, N11=1)), IF(ROUND(H11,0)=N11, 1, 0), "")</f>
        <v/>
      </c>
    </row>
    <row r="12">
      <c r="A12" t="n">
        <v>20260056</v>
      </c>
      <c r="B12" t="inlineStr">
        <is>
          <t>2026-04-10</t>
        </is>
      </c>
      <c r="C12" t="inlineStr">
        <is>
          <t>LG</t>
        </is>
      </c>
      <c r="D12" t="inlineStr">
        <is>
          <t>SSG</t>
        </is>
      </c>
      <c r="E12" t="n">
        <v>5002</v>
      </c>
      <c r="F12" t="n">
        <v>9002</v>
      </c>
      <c r="G12" t="n">
        <v>29.35</v>
      </c>
      <c r="H12" t="n">
        <v>0.2935</v>
      </c>
      <c r="I12" t="inlineStr">
        <is>
          <t>sp</t>
        </is>
      </c>
      <c r="J12">
        <f>MAX(H12,1-H12)</f>
        <v/>
      </c>
      <c r="K12">
        <f>_xlfn.IFS(
J12&lt;=0.55,"50~55",
J12&lt;=0.6,"55~60",
J12&lt;=0.65,"60~65",
J12&lt;=0.7,"65~70",
TRUE,"70~100"
)</f>
        <v/>
      </c>
      <c r="L12">
        <f>IF(H12&gt;=0.5,"HOME","AWAY")</f>
        <v/>
      </c>
      <c r="M12">
        <f>IF(AND(N12&lt;&gt;"", OR(N12=0, N12=1)), (J12-N12)^2, "")</f>
        <v/>
      </c>
      <c r="N12" t="n">
        <v>1</v>
      </c>
      <c r="O12">
        <f>IF(AND(N12&lt;&gt;"", OR(N12=0, N12=1)), IF(ROUND(H12,0)=N12, 1, 0), "")</f>
        <v/>
      </c>
    </row>
    <row r="13">
      <c r="A13" t="n">
        <v>20260057</v>
      </c>
      <c r="B13" t="inlineStr">
        <is>
          <t>2026-04-10</t>
        </is>
      </c>
      <c r="C13" t="inlineStr">
        <is>
          <t>키움</t>
        </is>
      </c>
      <c r="D13" t="inlineStr">
        <is>
          <t>롯데</t>
        </is>
      </c>
      <c r="E13" t="n">
        <v>10001</v>
      </c>
      <c r="F13" t="n">
        <v>3001</v>
      </c>
      <c r="G13" t="n">
        <v>73.65000000000001</v>
      </c>
      <c r="H13" t="n">
        <v>0.7365</v>
      </c>
      <c r="I13" t="inlineStr">
        <is>
          <t>sp</t>
        </is>
      </c>
      <c r="J13">
        <f>MAX(H13,1-H13)</f>
        <v/>
      </c>
      <c r="K13">
        <f>_xlfn.IFS(
J13&lt;=0.55,"50~55",
J13&lt;=0.6,"55~60",
J13&lt;=0.65,"60~65",
J13&lt;=0.7,"65~70",
TRUE,"70~100"
)</f>
        <v/>
      </c>
      <c r="L13">
        <f>IF(H13&gt;=0.5,"HOME","AWAY")</f>
        <v/>
      </c>
      <c r="M13">
        <f>IF(AND(N13&lt;&gt;"", OR(N13=0, N13=1)), (J13-N13)^2, "")</f>
        <v/>
      </c>
      <c r="N13" t="n">
        <v>0</v>
      </c>
      <c r="O13">
        <f>IF(AND(N13&lt;&gt;"", OR(N13=0, N13=1)), IF(ROUND(H13,0)=N13, 1, 0), "")</f>
        <v/>
      </c>
    </row>
    <row r="14">
      <c r="A14" t="n">
        <v>20260058</v>
      </c>
      <c r="B14" t="inlineStr">
        <is>
          <t>2026-04-10</t>
        </is>
      </c>
      <c r="C14" t="inlineStr">
        <is>
          <t>KT</t>
        </is>
      </c>
      <c r="D14" t="inlineStr">
        <is>
          <t>두산</t>
        </is>
      </c>
      <c r="E14" t="n">
        <v>12001</v>
      </c>
      <c r="F14" t="n">
        <v>6002</v>
      </c>
      <c r="G14" t="n">
        <v>57.85</v>
      </c>
      <c r="H14" t="n">
        <v>0.5785</v>
      </c>
      <c r="I14" t="inlineStr">
        <is>
          <t>sp</t>
        </is>
      </c>
      <c r="J14">
        <f>MAX(H14,1-H14)</f>
        <v/>
      </c>
      <c r="K14">
        <f>_xlfn.IFS(
J14&lt;=0.55,"50~55",
J14&lt;=0.6,"55~60",
J14&lt;=0.65,"60~65",
J14&lt;=0.7,"65~70",
TRUE,"70~100"
)</f>
        <v/>
      </c>
      <c r="L14">
        <f>IF(H14&gt;=0.5,"HOME","AWAY")</f>
        <v/>
      </c>
      <c r="M14">
        <f>IF(AND(N14&lt;&gt;"", OR(N14=0, N14=1)), (J14-N14)^2, "")</f>
        <v/>
      </c>
      <c r="N14" t="n">
        <v>0</v>
      </c>
      <c r="O14">
        <f>IF(AND(N14&lt;&gt;"", OR(N14=0, N14=1)), IF(ROUND(H14,0)=N14, 1, 0), "")</f>
        <v/>
      </c>
    </row>
    <row r="15">
      <c r="A15" t="n">
        <v>20260059</v>
      </c>
      <c r="B15" t="inlineStr">
        <is>
          <t>2026-04-10</t>
        </is>
      </c>
      <c r="C15" t="inlineStr">
        <is>
          <t>한화</t>
        </is>
      </c>
      <c r="D15" t="inlineStr">
        <is>
          <t>KIA</t>
        </is>
      </c>
      <c r="E15" t="n">
        <v>7002</v>
      </c>
      <c r="F15" t="n">
        <v>2002</v>
      </c>
      <c r="G15" t="n">
        <v>33.09</v>
      </c>
      <c r="H15" t="n">
        <v>0.3309</v>
      </c>
      <c r="I15" t="inlineStr">
        <is>
          <t>sp</t>
        </is>
      </c>
      <c r="J15">
        <f>MAX(H15,1-H15)</f>
        <v/>
      </c>
      <c r="K15">
        <f>_xlfn.IFS(
J15&lt;=0.55,"50~55",
J15&lt;=0.6,"55~60",
J15&lt;=0.65,"60~65",
J15&lt;=0.7,"65~70",
TRUE,"70~100"
)</f>
        <v/>
      </c>
      <c r="L15">
        <f>IF(H15&gt;=0.5,"HOME","AWAY")</f>
        <v/>
      </c>
      <c r="M15">
        <f>IF(AND(N15&lt;&gt;"", OR(N15=0, N15=1)), (J15-N15)^2, "")</f>
        <v/>
      </c>
      <c r="N15" t="n">
        <v>0</v>
      </c>
      <c r="O15">
        <f>IF(AND(N15&lt;&gt;"", OR(N15=0, N15=1)), IF(ROUND(H15,0)=N15, 1, 0), "")</f>
        <v/>
      </c>
    </row>
    <row r="16">
      <c r="A16" t="n">
        <v>20260060</v>
      </c>
      <c r="B16" t="inlineStr">
        <is>
          <t>2026-04-10</t>
        </is>
      </c>
      <c r="C16" t="inlineStr">
        <is>
          <t>삼성</t>
        </is>
      </c>
      <c r="D16" t="inlineStr">
        <is>
          <t>NC</t>
        </is>
      </c>
      <c r="E16" t="n">
        <v>1001</v>
      </c>
      <c r="F16" t="n">
        <v>11001</v>
      </c>
      <c r="G16" t="n">
        <v>30.46</v>
      </c>
      <c r="H16" t="n">
        <v>0.3046</v>
      </c>
      <c r="I16" t="inlineStr">
        <is>
          <t>sp</t>
        </is>
      </c>
      <c r="J16">
        <f>MAX(H16,1-H16)</f>
        <v/>
      </c>
      <c r="K16">
        <f>_xlfn.IFS(
J16&lt;=0.55,"50~55",
J16&lt;=0.6,"55~60",
J16&lt;=0.65,"60~65",
J16&lt;=0.7,"65~70",
TRUE,"70~100"
)</f>
        <v/>
      </c>
      <c r="L16">
        <f>IF(H16&gt;=0.5,"HOME","AWAY")</f>
        <v/>
      </c>
      <c r="M16">
        <f>IF(AND(N16&lt;&gt;"", OR(N16=0, N16=1)), (J16-N16)^2, "")</f>
        <v/>
      </c>
      <c r="N16" t="n">
        <v>1</v>
      </c>
      <c r="O16">
        <f>IF(AND(N16&lt;&gt;"", OR(N16=0, N16=1)), IF(ROUND(H16,0)=N16, 1, 0), "")</f>
        <v/>
      </c>
    </row>
    <row r="17">
      <c r="A17" t="n">
        <v>20260061</v>
      </c>
      <c r="B17" t="inlineStr">
        <is>
          <t>2026-04-11</t>
        </is>
      </c>
      <c r="C17" t="inlineStr">
        <is>
          <t>LG</t>
        </is>
      </c>
      <c r="D17" t="inlineStr">
        <is>
          <t>SSG</t>
        </is>
      </c>
      <c r="E17" t="n">
        <v>5002</v>
      </c>
      <c r="F17" t="n">
        <v>9002</v>
      </c>
      <c r="G17" t="n">
        <v>64.56</v>
      </c>
      <c r="H17" t="n">
        <v>0.6456</v>
      </c>
      <c r="I17" t="inlineStr">
        <is>
          <t>sp</t>
        </is>
      </c>
      <c r="J17">
        <f>MAX(H17,1-H17)</f>
        <v/>
      </c>
      <c r="K17">
        <f>_xlfn.IFS(
J17&lt;=0.55,"50~55",
J17&lt;=0.6,"55~60",
J17&lt;=0.65,"60~65",
J17&lt;=0.7,"65~70",
TRUE,"70~100"
)</f>
        <v/>
      </c>
      <c r="L17">
        <f>IF(H17&gt;=0.5,"HOME","AWAY")</f>
        <v/>
      </c>
      <c r="M17">
        <f>IF(AND(N17&lt;&gt;"", OR(N17=0, N17=1)), (J17-N17)^2, "")</f>
        <v/>
      </c>
      <c r="N17" t="n">
        <v>1</v>
      </c>
      <c r="O17">
        <f>IF(AND(N17&lt;&gt;"", OR(N17=0, N17=1)), IF(ROUND(H17,0)=N17, 1, 0), "")</f>
        <v/>
      </c>
    </row>
    <row r="18">
      <c r="A18" t="n">
        <v>20260062</v>
      </c>
      <c r="B18" t="inlineStr">
        <is>
          <t>2026-04-11</t>
        </is>
      </c>
      <c r="C18" t="inlineStr">
        <is>
          <t>키움</t>
        </is>
      </c>
      <c r="D18" t="inlineStr">
        <is>
          <t>롯데</t>
        </is>
      </c>
      <c r="E18" t="n">
        <v>10001</v>
      </c>
      <c r="F18" t="n">
        <v>3001</v>
      </c>
      <c r="G18" t="n">
        <v>51.07</v>
      </c>
      <c r="H18" t="n">
        <v>0.5107</v>
      </c>
      <c r="I18" t="inlineStr">
        <is>
          <t>sp</t>
        </is>
      </c>
      <c r="J18">
        <f>MAX(H18,1-H18)</f>
        <v/>
      </c>
      <c r="K18">
        <f>_xlfn.IFS(
J18&lt;=0.55,"50~55",
J18&lt;=0.6,"55~60",
J18&lt;=0.65,"60~65",
J18&lt;=0.7,"65~70",
TRUE,"70~100"
)</f>
        <v/>
      </c>
      <c r="L18">
        <f>IF(H18&gt;=0.5,"HOME","AWAY")</f>
        <v/>
      </c>
      <c r="M18">
        <f>IF(AND(N18&lt;&gt;"", OR(N18=0, N18=1)), (J18-N18)^2, "")</f>
        <v/>
      </c>
      <c r="N18" t="n">
        <v>0</v>
      </c>
      <c r="O18">
        <f>IF(AND(N18&lt;&gt;"", OR(N18=0, N18=1)), IF(ROUND(H18,0)=N18, 1, 0), "")</f>
        <v/>
      </c>
    </row>
    <row r="19">
      <c r="A19" t="n">
        <v>20260063</v>
      </c>
      <c r="B19" t="inlineStr">
        <is>
          <t>2026-04-11</t>
        </is>
      </c>
      <c r="C19" t="inlineStr">
        <is>
          <t>KT</t>
        </is>
      </c>
      <c r="D19" t="inlineStr">
        <is>
          <t>두산</t>
        </is>
      </c>
      <c r="E19" t="n">
        <v>12001</v>
      </c>
      <c r="F19" t="n">
        <v>6002</v>
      </c>
      <c r="G19" t="n">
        <v>24.04</v>
      </c>
      <c r="H19" t="n">
        <v>0.2404</v>
      </c>
      <c r="I19" t="inlineStr">
        <is>
          <t>sp</t>
        </is>
      </c>
      <c r="J19">
        <f>MAX(H19,1-H19)</f>
        <v/>
      </c>
      <c r="K19">
        <f>_xlfn.IFS(
J19&lt;=0.55,"50~55",
J19&lt;=0.6,"55~60",
J19&lt;=0.65,"60~65",
J19&lt;=0.7,"65~70",
TRUE,"70~100"
)</f>
        <v/>
      </c>
      <c r="L19">
        <f>IF(H19&gt;=0.5,"HOME","AWAY")</f>
        <v/>
      </c>
      <c r="M19">
        <f>IF(AND(N19&lt;&gt;"", OR(N19=0, N19=1)), (J19-N19)^2, "")</f>
        <v/>
      </c>
      <c r="N19" t="n">
        <v>1</v>
      </c>
      <c r="O19">
        <f>IF(AND(N19&lt;&gt;"", OR(N19=0, N19=1)), IF(ROUND(H19,0)=N19, 1, 0), "")</f>
        <v/>
      </c>
    </row>
    <row r="20">
      <c r="A20" t="n">
        <v>20260064</v>
      </c>
      <c r="B20" t="inlineStr">
        <is>
          <t>2026-04-11</t>
        </is>
      </c>
      <c r="C20" t="inlineStr">
        <is>
          <t>한화</t>
        </is>
      </c>
      <c r="D20" t="inlineStr">
        <is>
          <t>KIA</t>
        </is>
      </c>
      <c r="E20" t="n">
        <v>7002</v>
      </c>
      <c r="F20" t="n">
        <v>2002</v>
      </c>
      <c r="G20" t="n">
        <v>89.63</v>
      </c>
      <c r="H20" t="n">
        <v>0.8963</v>
      </c>
      <c r="I20" t="inlineStr">
        <is>
          <t>sp</t>
        </is>
      </c>
      <c r="J20">
        <f>MAX(H20,1-H20)</f>
        <v/>
      </c>
      <c r="K20">
        <f>_xlfn.IFS(
J20&lt;=0.55,"50~55",
J20&lt;=0.6,"55~60",
J20&lt;=0.65,"60~65",
J20&lt;=0.7,"65~70",
TRUE,"70~100"
)</f>
        <v/>
      </c>
      <c r="L20">
        <f>IF(H20&gt;=0.5,"HOME","AWAY")</f>
        <v/>
      </c>
      <c r="M20">
        <f>IF(AND(N20&lt;&gt;"", OR(N20=0, N20=1)), (J20-N20)^2, "")</f>
        <v/>
      </c>
      <c r="N20" t="n">
        <v>0</v>
      </c>
      <c r="O20">
        <f>IF(AND(N20&lt;&gt;"", OR(N20=0, N20=1)), IF(ROUND(H20,0)=N20, 1, 0), "")</f>
        <v/>
      </c>
    </row>
    <row r="21">
      <c r="A21" t="n">
        <v>20260065</v>
      </c>
      <c r="B21" t="inlineStr">
        <is>
          <t>2026-04-11</t>
        </is>
      </c>
      <c r="C21" t="inlineStr">
        <is>
          <t>삼성</t>
        </is>
      </c>
      <c r="D21" t="inlineStr">
        <is>
          <t>NC</t>
        </is>
      </c>
      <c r="E21" t="n">
        <v>1001</v>
      </c>
      <c r="F21" t="n">
        <v>11001</v>
      </c>
      <c r="G21" t="n">
        <v>37.89</v>
      </c>
      <c r="H21" t="n">
        <v>0.3789</v>
      </c>
      <c r="I21" t="inlineStr">
        <is>
          <t>sp</t>
        </is>
      </c>
      <c r="J21">
        <f>MAX(H21,1-H21)</f>
        <v/>
      </c>
      <c r="K21">
        <f>_xlfn.IFS(
J21&lt;=0.55,"50~55",
J21&lt;=0.6,"55~60",
J21&lt;=0.65,"60~65",
J21&lt;=0.7,"65~70",
TRUE,"70~100"
)</f>
        <v/>
      </c>
      <c r="L21">
        <f>IF(H21&gt;=0.5,"HOME","AWAY")</f>
        <v/>
      </c>
      <c r="M21">
        <f>IF(AND(N21&lt;&gt;"", OR(N21=0, N21=1)), (J21-N21)^2, "")</f>
        <v/>
      </c>
      <c r="N21" t="n">
        <v>1</v>
      </c>
      <c r="O21">
        <f>IF(AND(N21&lt;&gt;"", OR(N21=0, N21=1)), IF(ROUND(H21,0)=N21, 1, 0), "")</f>
        <v/>
      </c>
    </row>
    <row r="22">
      <c r="A22" t="n">
        <v>20260066</v>
      </c>
      <c r="B22" t="inlineStr">
        <is>
          <t>2026-04-12</t>
        </is>
      </c>
      <c r="C22" t="inlineStr">
        <is>
          <t>LG</t>
        </is>
      </c>
      <c r="D22" t="inlineStr">
        <is>
          <t>SSG</t>
        </is>
      </c>
      <c r="E22" t="n">
        <v>5002</v>
      </c>
      <c r="F22" t="n">
        <v>9002</v>
      </c>
      <c r="G22" t="n">
        <v>38.08</v>
      </c>
      <c r="H22" t="n">
        <v>0.3808</v>
      </c>
      <c r="I22" t="inlineStr">
        <is>
          <t>sp</t>
        </is>
      </c>
      <c r="J22">
        <f>MAX(H22,1-H22)</f>
        <v/>
      </c>
      <c r="K22">
        <f>_xlfn.IFS(
J22&lt;=0.55,"50~55",
J22&lt;=0.6,"55~60",
J22&lt;=0.65,"60~65",
J22&lt;=0.7,"65~70",
TRUE,"70~100"
)</f>
        <v/>
      </c>
      <c r="L22">
        <f>IF(H22&gt;=0.5,"HOME","AWAY")</f>
        <v/>
      </c>
      <c r="M22">
        <f>IF(AND(N22&lt;&gt;"", OR(N22=0, N22=1)), (J22-N22)^2, "")</f>
        <v/>
      </c>
      <c r="N22" t="n">
        <v>1</v>
      </c>
      <c r="O22">
        <f>IF(AND(N22&lt;&gt;"", OR(N22=0, N22=1)), IF(ROUND(H22,0)=N22, 1, 0), "")</f>
        <v/>
      </c>
    </row>
    <row r="23">
      <c r="A23" t="n">
        <v>20260067</v>
      </c>
      <c r="B23" t="inlineStr">
        <is>
          <t>2026-04-12</t>
        </is>
      </c>
      <c r="C23" t="inlineStr">
        <is>
          <t>키움</t>
        </is>
      </c>
      <c r="D23" t="inlineStr">
        <is>
          <t>롯데</t>
        </is>
      </c>
      <c r="E23" t="n">
        <v>10001</v>
      </c>
      <c r="F23" t="n">
        <v>3001</v>
      </c>
      <c r="G23" t="n">
        <v>36.65</v>
      </c>
      <c r="H23" t="n">
        <v>0.3665</v>
      </c>
      <c r="I23" t="inlineStr">
        <is>
          <t>sp</t>
        </is>
      </c>
      <c r="J23">
        <f>MAX(H23,1-H23)</f>
        <v/>
      </c>
      <c r="K23">
        <f>_xlfn.IFS(
J23&lt;=0.55,"50~55",
J23&lt;=0.6,"55~60",
J23&lt;=0.65,"60~65",
J23&lt;=0.7,"65~70",
TRUE,"70~100"
)</f>
        <v/>
      </c>
      <c r="L23">
        <f>IF(H23&gt;=0.5,"HOME","AWAY")</f>
        <v/>
      </c>
      <c r="M23">
        <f>IF(AND(N23&lt;&gt;"", OR(N23=0, N23=1)), (J23-N23)^2, "")</f>
        <v/>
      </c>
      <c r="N23" t="n">
        <v>1</v>
      </c>
      <c r="O23">
        <f>IF(AND(N23&lt;&gt;"", OR(N23=0, N23=1)), IF(ROUND(H23,0)=N23, 1, 0), "")</f>
        <v/>
      </c>
    </row>
    <row r="24">
      <c r="A24" t="n">
        <v>20260068</v>
      </c>
      <c r="B24" t="inlineStr">
        <is>
          <t>2026-04-12</t>
        </is>
      </c>
      <c r="C24" t="inlineStr">
        <is>
          <t>KT</t>
        </is>
      </c>
      <c r="D24" t="inlineStr">
        <is>
          <t>두산</t>
        </is>
      </c>
      <c r="E24" t="n">
        <v>12001</v>
      </c>
      <c r="F24" t="n">
        <v>6002</v>
      </c>
      <c r="G24" t="n">
        <v>73.31</v>
      </c>
      <c r="H24" t="n">
        <v>0.7331</v>
      </c>
      <c r="I24" t="inlineStr">
        <is>
          <t>sp</t>
        </is>
      </c>
      <c r="J24">
        <f>MAX(H24,1-H24)</f>
        <v/>
      </c>
      <c r="K24">
        <f>_xlfn.IFS(
J24&lt;=0.55,"50~55",
J24&lt;=0.6,"55~60",
J24&lt;=0.65,"60~65",
J24&lt;=0.7,"65~70",
TRUE,"70~100"
)</f>
        <v/>
      </c>
      <c r="L24">
        <f>IF(H24&gt;=0.5,"HOME","AWAY")</f>
        <v/>
      </c>
      <c r="M24">
        <f>IF(AND(N24&lt;&gt;"", OR(N24=0, N24=1)), (J24-N24)^2, "")</f>
        <v/>
      </c>
      <c r="N24" t="n">
        <v>1</v>
      </c>
      <c r="O24">
        <f>IF(AND(N24&lt;&gt;"", OR(N24=0, N24=1)), IF(ROUND(H24,0)=N24, 1, 0), "")</f>
        <v/>
      </c>
    </row>
    <row r="25">
      <c r="A25" t="n">
        <v>20260069</v>
      </c>
      <c r="B25" t="inlineStr">
        <is>
          <t>2026-04-12</t>
        </is>
      </c>
      <c r="C25" t="inlineStr">
        <is>
          <t>한화</t>
        </is>
      </c>
      <c r="D25" t="inlineStr">
        <is>
          <t>KIA</t>
        </is>
      </c>
      <c r="E25" t="n">
        <v>7002</v>
      </c>
      <c r="F25" t="n">
        <v>2002</v>
      </c>
      <c r="G25" t="n">
        <v>33.01</v>
      </c>
      <c r="H25" t="n">
        <v>0.3301</v>
      </c>
      <c r="I25" t="inlineStr">
        <is>
          <t>sp</t>
        </is>
      </c>
      <c r="J25">
        <f>MAX(H25,1-H25)</f>
        <v/>
      </c>
      <c r="K25">
        <f>_xlfn.IFS(
J25&lt;=0.55,"50~55",
J25&lt;=0.6,"55~60",
J25&lt;=0.65,"60~65",
J25&lt;=0.7,"65~70",
TRUE,"70~100"
)</f>
        <v/>
      </c>
      <c r="L25">
        <f>IF(H25&gt;=0.5,"HOME","AWAY")</f>
        <v/>
      </c>
      <c r="M25">
        <f>IF(AND(N25&lt;&gt;"", OR(N25=0, N25=1)), (J25-N25)^2, "")</f>
        <v/>
      </c>
      <c r="N25" t="n">
        <v>0</v>
      </c>
      <c r="O25">
        <f>IF(AND(N25&lt;&gt;"", OR(N25=0, N25=1)), IF(ROUND(H25,0)=N25, 1, 0), "")</f>
        <v/>
      </c>
    </row>
    <row r="26">
      <c r="A26" t="n">
        <v>20260070</v>
      </c>
      <c r="B26" t="inlineStr">
        <is>
          <t>2026-04-12</t>
        </is>
      </c>
      <c r="C26" t="inlineStr">
        <is>
          <t>삼성</t>
        </is>
      </c>
      <c r="D26" t="inlineStr">
        <is>
          <t>NC</t>
        </is>
      </c>
      <c r="E26" t="n">
        <v>1001</v>
      </c>
      <c r="F26" t="n">
        <v>11001</v>
      </c>
      <c r="G26" t="n">
        <v>60.31</v>
      </c>
      <c r="H26" t="n">
        <v>0.6031</v>
      </c>
      <c r="I26" t="inlineStr">
        <is>
          <t>sp</t>
        </is>
      </c>
      <c r="J26">
        <f>MAX(H26,1-H26)</f>
        <v/>
      </c>
      <c r="K26">
        <f>_xlfn.IFS(
J26&lt;=0.55,"50~55",
J26&lt;=0.6,"55~60",
J26&lt;=0.65,"60~65",
J26&lt;=0.7,"65~70",
TRUE,"70~100"
)</f>
        <v/>
      </c>
      <c r="L26">
        <f>IF(H26&gt;=0.5,"HOME","AWAY")</f>
        <v/>
      </c>
      <c r="M26">
        <f>IF(AND(N26&lt;&gt;"", OR(N26=0, N26=1)), (J26-N26)^2, "")</f>
        <v/>
      </c>
      <c r="N26" t="n">
        <v>1</v>
      </c>
      <c r="O26">
        <f>IF(AND(N26&lt;&gt;"", OR(N26=0, N26=1)), IF(ROUND(H26,0)=N26, 1, 0), "")</f>
        <v/>
      </c>
    </row>
    <row r="27">
      <c r="A27" t="n">
        <v>20260071</v>
      </c>
      <c r="B27" t="inlineStr">
        <is>
          <t>2026-04-14</t>
        </is>
      </c>
      <c r="C27" t="inlineStr">
        <is>
          <t>LG</t>
        </is>
      </c>
      <c r="D27" t="inlineStr">
        <is>
          <t>롯데</t>
        </is>
      </c>
      <c r="E27" t="n">
        <v>5002</v>
      </c>
      <c r="F27" t="n">
        <v>3001</v>
      </c>
      <c r="G27" t="n">
        <v>57.69</v>
      </c>
      <c r="H27" t="n">
        <v>0.5769</v>
      </c>
      <c r="I27" t="inlineStr">
        <is>
          <t>non</t>
        </is>
      </c>
      <c r="J27">
        <f>MAX(H27,1-H27)</f>
        <v/>
      </c>
      <c r="K27">
        <f>_xlfn.IFS(
J27&lt;=0.55,"50~55",
J27&lt;=0.6,"55~60",
J27&lt;=0.65,"60~65",
J27&lt;=0.7,"65~70",
TRUE,"70~100"
)</f>
        <v/>
      </c>
      <c r="L27">
        <f>IF(H27&gt;=0.5,"HOME","AWAY")</f>
        <v/>
      </c>
      <c r="M27">
        <f>IF(AND(N27&lt;&gt;"", OR(N27=0, N27=1)), (J27-N27)^2, "")</f>
        <v/>
      </c>
      <c r="N27" t="n">
        <v>1</v>
      </c>
      <c r="O27">
        <f>IF(AND(N27&lt;&gt;"", OR(N27=0, N27=1)), IF(ROUND(H27,0)=N27, 1, 0), "")</f>
        <v/>
      </c>
    </row>
    <row r="28">
      <c r="A28" t="n">
        <v>20260072</v>
      </c>
      <c r="B28" t="inlineStr">
        <is>
          <t>2026-04-14</t>
        </is>
      </c>
      <c r="C28" t="inlineStr">
        <is>
          <t>SSG</t>
        </is>
      </c>
      <c r="D28" t="inlineStr">
        <is>
          <t>두산</t>
        </is>
      </c>
      <c r="E28" t="n">
        <v>9002</v>
      </c>
      <c r="F28" t="n">
        <v>6002</v>
      </c>
      <c r="G28" t="n">
        <v>55.62</v>
      </c>
      <c r="H28" t="n">
        <v>0.5562</v>
      </c>
      <c r="I28" t="inlineStr">
        <is>
          <t>non</t>
        </is>
      </c>
      <c r="J28">
        <f>MAX(H28,1-H28)</f>
        <v/>
      </c>
      <c r="K28">
        <f>_xlfn.IFS(
J28&lt;=0.55,"50~55",
J28&lt;=0.6,"55~60",
J28&lt;=0.65,"60~65",
J28&lt;=0.7,"65~70",
TRUE,"70~100"
)</f>
        <v/>
      </c>
      <c r="L28">
        <f>IF(H28&gt;=0.5,"HOME","AWAY")</f>
        <v/>
      </c>
      <c r="M28">
        <f>IF(AND(N28&lt;&gt;"", OR(N28=0, N28=1)), (J28-N28)^2, "")</f>
        <v/>
      </c>
      <c r="N28" t="n">
        <v>0</v>
      </c>
      <c r="O28">
        <f>IF(AND(N28&lt;&gt;"", OR(N28=0, N28=1)), IF(ROUND(H28,0)=N28, 1, 0), "")</f>
        <v/>
      </c>
    </row>
    <row r="29">
      <c r="A29" t="n">
        <v>20260073</v>
      </c>
      <c r="B29" t="inlineStr">
        <is>
          <t>2026-04-14</t>
        </is>
      </c>
      <c r="C29" t="inlineStr">
        <is>
          <t>한화</t>
        </is>
      </c>
      <c r="D29" t="inlineStr">
        <is>
          <t>삼성</t>
        </is>
      </c>
      <c r="E29" t="n">
        <v>7002</v>
      </c>
      <c r="F29" t="n">
        <v>1001</v>
      </c>
      <c r="G29" t="n">
        <v>49.8</v>
      </c>
      <c r="H29" t="n">
        <v>0.498</v>
      </c>
      <c r="I29" t="inlineStr">
        <is>
          <t>non</t>
        </is>
      </c>
      <c r="J29">
        <f>MAX(H29,1-H29)</f>
        <v/>
      </c>
      <c r="K29">
        <f>_xlfn.IFS(
J29&lt;=0.55,"50~55",
J29&lt;=0.6,"55~60",
J29&lt;=0.65,"60~65",
J29&lt;=0.7,"65~70",
TRUE,"70~100"
)</f>
        <v/>
      </c>
      <c r="L29">
        <f>IF(H29&gt;=0.5,"HOME","AWAY")</f>
        <v/>
      </c>
      <c r="M29">
        <f>IF(AND(N29&lt;&gt;"", OR(N29=0, N29=1)), (J29-N29)^2, "")</f>
        <v/>
      </c>
      <c r="N29" t="n">
        <v>0</v>
      </c>
      <c r="O29">
        <f>IF(AND(N29&lt;&gt;"", OR(N29=0, N29=1)), IF(ROUND(H29,0)=N29, 1, 0), "")</f>
        <v/>
      </c>
    </row>
    <row r="30">
      <c r="A30" t="n">
        <v>20260074</v>
      </c>
      <c r="B30" t="inlineStr">
        <is>
          <t>2026-04-14</t>
        </is>
      </c>
      <c r="C30" t="inlineStr">
        <is>
          <t>KIA</t>
        </is>
      </c>
      <c r="D30" t="inlineStr">
        <is>
          <t>키움</t>
        </is>
      </c>
      <c r="E30" t="n">
        <v>2002</v>
      </c>
      <c r="F30" t="n">
        <v>10001</v>
      </c>
      <c r="G30" t="n">
        <v>49.73</v>
      </c>
      <c r="H30" t="n">
        <v>0.4973</v>
      </c>
      <c r="I30" t="inlineStr">
        <is>
          <t>non</t>
        </is>
      </c>
      <c r="J30">
        <f>MAX(H30,1-H30)</f>
        <v/>
      </c>
      <c r="K30">
        <f>_xlfn.IFS(
J30&lt;=0.55,"50~55",
J30&lt;=0.6,"55~60",
J30&lt;=0.65,"60~65",
J30&lt;=0.7,"65~70",
TRUE,"70~100"
)</f>
        <v/>
      </c>
      <c r="L30">
        <f>IF(H30&gt;=0.5,"HOME","AWAY")</f>
        <v/>
      </c>
      <c r="M30">
        <f>IF(AND(N30&lt;&gt;"", OR(N30=0, N30=1)), (J30-N30)^2, "")</f>
        <v/>
      </c>
      <c r="N30" t="n">
        <v>1</v>
      </c>
      <c r="O30">
        <f>IF(AND(N30&lt;&gt;"", OR(N30=0, N30=1)), IF(ROUND(H30,0)=N30, 1, 0), "")</f>
        <v/>
      </c>
    </row>
    <row r="31">
      <c r="A31" t="n">
        <v>20260075</v>
      </c>
      <c r="B31" t="inlineStr">
        <is>
          <t>2026-04-14</t>
        </is>
      </c>
      <c r="C31" t="inlineStr">
        <is>
          <t>NC</t>
        </is>
      </c>
      <c r="D31" t="inlineStr">
        <is>
          <t>KT</t>
        </is>
      </c>
      <c r="E31" t="n">
        <v>11001</v>
      </c>
      <c r="F31" t="n">
        <v>12001</v>
      </c>
      <c r="G31" t="n">
        <v>50.79</v>
      </c>
      <c r="H31" t="n">
        <v>0.5079</v>
      </c>
      <c r="I31" t="inlineStr">
        <is>
          <t>non</t>
        </is>
      </c>
      <c r="J31">
        <f>MAX(H31,1-H31)</f>
        <v/>
      </c>
      <c r="K31">
        <f>_xlfn.IFS(
J31&lt;=0.55,"50~55",
J31&lt;=0.6,"55~60",
J31&lt;=0.65,"60~65",
J31&lt;=0.7,"65~70",
TRUE,"70~100"
)</f>
        <v/>
      </c>
      <c r="L31">
        <f>IF(H31&gt;=0.5,"HOME","AWAY")</f>
        <v/>
      </c>
      <c r="M31">
        <f>IF(AND(N31&lt;&gt;"", OR(N31=0, N31=1)), (J31-N31)^2, "")</f>
        <v/>
      </c>
      <c r="N31" t="n">
        <v>1</v>
      </c>
      <c r="O31">
        <f>IF(AND(N31&lt;&gt;"", OR(N31=0, N31=1)), IF(ROUND(H31,0)=N31, 1, 0), "")</f>
        <v/>
      </c>
    </row>
    <row r="32">
      <c r="A32" t="n">
        <v>20260076</v>
      </c>
      <c r="B32" t="inlineStr">
        <is>
          <t>2026-04-15</t>
        </is>
      </c>
      <c r="C32" t="inlineStr">
        <is>
          <t>LG</t>
        </is>
      </c>
      <c r="D32" t="inlineStr">
        <is>
          <t>롯데</t>
        </is>
      </c>
      <c r="E32" t="n">
        <v>5002</v>
      </c>
      <c r="F32" t="n">
        <v>3001</v>
      </c>
      <c r="G32" t="n">
        <v>57.69</v>
      </c>
      <c r="H32" t="n">
        <v>0.5769</v>
      </c>
      <c r="I32" t="inlineStr">
        <is>
          <t>non</t>
        </is>
      </c>
      <c r="J32">
        <f>MAX(H32,1-H32)</f>
        <v/>
      </c>
      <c r="K32">
        <f>_xlfn.IFS(
J32&lt;=0.55,"50~55",
J32&lt;=0.6,"55~60",
J32&lt;=0.65,"60~65",
J32&lt;=0.7,"65~70",
TRUE,"70~100"
)</f>
        <v/>
      </c>
      <c r="L32">
        <f>IF(H32&gt;=0.5,"HOME","AWAY")</f>
        <v/>
      </c>
      <c r="M32">
        <f>IF(AND(N32&lt;&gt;"", OR(N32=0, N32=1)), (J32-N32)^2, "")</f>
        <v/>
      </c>
      <c r="N32" t="n">
        <v>0</v>
      </c>
      <c r="O32">
        <f>IF(AND(N32&lt;&gt;"", OR(N32=0, N32=1)), IF(ROUND(H32,0)=N32, 1, 0), "")</f>
        <v/>
      </c>
    </row>
    <row r="33">
      <c r="A33" t="n">
        <v>20260077</v>
      </c>
      <c r="B33" t="inlineStr">
        <is>
          <t>2026-04-15</t>
        </is>
      </c>
      <c r="C33" t="inlineStr">
        <is>
          <t>SSG</t>
        </is>
      </c>
      <c r="D33" t="inlineStr">
        <is>
          <t>두산</t>
        </is>
      </c>
      <c r="E33" t="n">
        <v>9002</v>
      </c>
      <c r="F33" t="n">
        <v>6002</v>
      </c>
      <c r="G33" t="n">
        <v>55.62</v>
      </c>
      <c r="H33" t="n">
        <v>0.5562</v>
      </c>
      <c r="I33" t="inlineStr">
        <is>
          <t>non</t>
        </is>
      </c>
      <c r="J33">
        <f>MAX(H33,1-H33)</f>
        <v/>
      </c>
      <c r="K33">
        <f>_xlfn.IFS(
J33&lt;=0.55,"50~55",
J33&lt;=0.6,"55~60",
J33&lt;=0.65,"60~65",
J33&lt;=0.7,"65~70",
TRUE,"70~100"
)</f>
        <v/>
      </c>
      <c r="L33">
        <f>IF(H33&gt;=0.5,"HOME","AWAY")</f>
        <v/>
      </c>
      <c r="M33">
        <f>IF(AND(N33&lt;&gt;"", OR(N33=0, N33=1)), (J33-N33)^2, "")</f>
        <v/>
      </c>
      <c r="N33" t="n">
        <v>1</v>
      </c>
      <c r="O33">
        <f>IF(AND(N33&lt;&gt;"", OR(N33=0, N33=1)), IF(ROUND(H33,0)=N33, 1, 0), "")</f>
        <v/>
      </c>
    </row>
    <row r="34">
      <c r="A34" t="n">
        <v>20260078</v>
      </c>
      <c r="B34" t="inlineStr">
        <is>
          <t>2026-04-15</t>
        </is>
      </c>
      <c r="C34" t="inlineStr">
        <is>
          <t>한화</t>
        </is>
      </c>
      <c r="D34" t="inlineStr">
        <is>
          <t>삼성</t>
        </is>
      </c>
      <c r="E34" t="n">
        <v>7002</v>
      </c>
      <c r="F34" t="n">
        <v>1001</v>
      </c>
      <c r="G34" t="n">
        <v>49.8</v>
      </c>
      <c r="H34" t="n">
        <v>0.498</v>
      </c>
      <c r="I34" t="inlineStr">
        <is>
          <t>non</t>
        </is>
      </c>
      <c r="J34">
        <f>MAX(H34,1-H34)</f>
        <v/>
      </c>
      <c r="K34">
        <f>_xlfn.IFS(
J34&lt;=0.55,"50~55",
J34&lt;=0.6,"55~60",
J34&lt;=0.65,"60~65",
J34&lt;=0.7,"65~70",
TRUE,"70~100"
)</f>
        <v/>
      </c>
      <c r="L34">
        <f>IF(H34&gt;=0.5,"HOME","AWAY")</f>
        <v/>
      </c>
      <c r="M34">
        <f>IF(AND(N34&lt;&gt;"", OR(N34=0, N34=1)), (J34-N34)^2, "")</f>
        <v/>
      </c>
      <c r="N34" t="n">
        <v>0</v>
      </c>
      <c r="O34">
        <f>IF(AND(N34&lt;&gt;"", OR(N34=0, N34=1)), IF(ROUND(H34,0)=N34, 1, 0), "")</f>
        <v/>
      </c>
    </row>
    <row r="35">
      <c r="A35" t="n">
        <v>20260079</v>
      </c>
      <c r="B35" t="inlineStr">
        <is>
          <t>2026-04-15</t>
        </is>
      </c>
      <c r="C35" t="inlineStr">
        <is>
          <t>KIA</t>
        </is>
      </c>
      <c r="D35" t="inlineStr">
        <is>
          <t>키움</t>
        </is>
      </c>
      <c r="E35" t="n">
        <v>2002</v>
      </c>
      <c r="F35" t="n">
        <v>10001</v>
      </c>
      <c r="G35" t="n">
        <v>49.73</v>
      </c>
      <c r="H35" t="n">
        <v>0.4973</v>
      </c>
      <c r="I35" t="inlineStr">
        <is>
          <t>non</t>
        </is>
      </c>
      <c r="J35">
        <f>MAX(H35,1-H35)</f>
        <v/>
      </c>
      <c r="K35">
        <f>_xlfn.IFS(
J35&lt;=0.55,"50~55",
J35&lt;=0.6,"55~60",
J35&lt;=0.65,"60~65",
J35&lt;=0.7,"65~70",
TRUE,"70~100"
)</f>
        <v/>
      </c>
      <c r="L35">
        <f>IF(H35&gt;=0.5,"HOME","AWAY")</f>
        <v/>
      </c>
      <c r="M35">
        <f>IF(AND(N35&lt;&gt;"", OR(N35=0, N35=1)), (J35-N35)^2, "")</f>
        <v/>
      </c>
      <c r="N35" t="n">
        <v>1</v>
      </c>
      <c r="O35">
        <f>IF(AND(N35&lt;&gt;"", OR(N35=0, N35=1)), IF(ROUND(H35,0)=N35, 1, 0), "")</f>
        <v/>
      </c>
    </row>
    <row r="36">
      <c r="A36" t="n">
        <v>20260080</v>
      </c>
      <c r="B36" t="inlineStr">
        <is>
          <t>2026-04-15</t>
        </is>
      </c>
      <c r="C36" t="inlineStr">
        <is>
          <t>NC</t>
        </is>
      </c>
      <c r="D36" t="inlineStr">
        <is>
          <t>KT</t>
        </is>
      </c>
      <c r="E36" t="n">
        <v>11001</v>
      </c>
      <c r="F36" t="n">
        <v>12001</v>
      </c>
      <c r="G36" t="n">
        <v>50.79</v>
      </c>
      <c r="H36" t="n">
        <v>0.5079</v>
      </c>
      <c r="I36" t="inlineStr">
        <is>
          <t>non</t>
        </is>
      </c>
      <c r="J36">
        <f>MAX(H36,1-H36)</f>
        <v/>
      </c>
      <c r="K36">
        <f>_xlfn.IFS(
J36&lt;=0.55,"50~55",
J36&lt;=0.6,"55~60",
J36&lt;=0.65,"60~65",
J36&lt;=0.7,"65~70",
TRUE,"70~100"
)</f>
        <v/>
      </c>
      <c r="L36">
        <f>IF(H36&gt;=0.5,"HOME","AWAY")</f>
        <v/>
      </c>
      <c r="M36">
        <f>IF(AND(N36&lt;&gt;"", OR(N36=0, N36=1)), (J36-N36)^2, "")</f>
        <v/>
      </c>
      <c r="N36" t="n">
        <v>0</v>
      </c>
      <c r="O36">
        <f>IF(AND(N36&lt;&gt;"", OR(N36=0, N36=1)), IF(ROUND(H36,0)=N36, 1, 0), "")</f>
        <v/>
      </c>
    </row>
    <row r="37">
      <c r="A37" t="n">
        <v>20260081</v>
      </c>
      <c r="B37" t="inlineStr">
        <is>
          <t>2026-04-16</t>
        </is>
      </c>
      <c r="C37" t="inlineStr">
        <is>
          <t>LG</t>
        </is>
      </c>
      <c r="D37" t="inlineStr">
        <is>
          <t>롯데</t>
        </is>
      </c>
      <c r="E37" t="n">
        <v>5002</v>
      </c>
      <c r="F37" t="n">
        <v>3001</v>
      </c>
      <c r="G37" t="n">
        <v>57.69</v>
      </c>
      <c r="H37" t="n">
        <v>0.5769</v>
      </c>
      <c r="I37" t="inlineStr">
        <is>
          <t>non</t>
        </is>
      </c>
      <c r="J37">
        <f>MAX(H37,1-H37)</f>
        <v/>
      </c>
      <c r="K37">
        <f>_xlfn.IFS(
J37&lt;=0.55,"50~55",
J37&lt;=0.6,"55~60",
J37&lt;=0.65,"60~65",
J37&lt;=0.7,"65~70",
TRUE,"70~100"
)</f>
        <v/>
      </c>
      <c r="L37">
        <f>IF(H37&gt;=0.5,"HOME","AWAY")</f>
        <v/>
      </c>
      <c r="M37">
        <f>IF(AND(N37&lt;&gt;"", OR(N37=0, N37=1)), (J37-N37)^2, "")</f>
        <v/>
      </c>
      <c r="N37" t="n">
        <v>1</v>
      </c>
      <c r="O37">
        <f>IF(AND(N37&lt;&gt;"", OR(N37=0, N37=1)), IF(ROUND(H37,0)=N37, 1, 0), "")</f>
        <v/>
      </c>
    </row>
    <row r="38">
      <c r="A38" t="n">
        <v>20260082</v>
      </c>
      <c r="B38" t="inlineStr">
        <is>
          <t>2026-04-16</t>
        </is>
      </c>
      <c r="C38" t="inlineStr">
        <is>
          <t>SSG</t>
        </is>
      </c>
      <c r="D38" t="inlineStr">
        <is>
          <t>두산</t>
        </is>
      </c>
      <c r="E38" t="n">
        <v>9002</v>
      </c>
      <c r="F38" t="n">
        <v>6002</v>
      </c>
      <c r="G38" t="n">
        <v>55.62</v>
      </c>
      <c r="H38" t="n">
        <v>0.5562</v>
      </c>
      <c r="I38" t="inlineStr">
        <is>
          <t>non</t>
        </is>
      </c>
      <c r="J38">
        <f>MAX(H38,1-H38)</f>
        <v/>
      </c>
      <c r="K38">
        <f>_xlfn.IFS(
J38&lt;=0.55,"50~55",
J38&lt;=0.6,"55~60",
J38&lt;=0.65,"60~65",
J38&lt;=0.7,"65~70",
TRUE,"70~100"
)</f>
        <v/>
      </c>
      <c r="L38">
        <f>IF(H38&gt;=0.5,"HOME","AWAY")</f>
        <v/>
      </c>
      <c r="M38">
        <f>IF(AND(N38&lt;&gt;"", OR(N38=0, N38=1)), (J38-N38)^2, "")</f>
        <v/>
      </c>
      <c r="N38" t="n">
        <v>1</v>
      </c>
      <c r="O38">
        <f>IF(AND(N38&lt;&gt;"", OR(N38=0, N38=1)), IF(ROUND(H38,0)=N38, 1, 0), "")</f>
        <v/>
      </c>
    </row>
    <row r="39">
      <c r="A39" t="n">
        <v>20260083</v>
      </c>
      <c r="B39" t="inlineStr">
        <is>
          <t>2026-04-16</t>
        </is>
      </c>
      <c r="C39" t="inlineStr">
        <is>
          <t>한화</t>
        </is>
      </c>
      <c r="D39" t="inlineStr">
        <is>
          <t>삼성</t>
        </is>
      </c>
      <c r="E39" t="n">
        <v>7002</v>
      </c>
      <c r="F39" t="n">
        <v>1001</v>
      </c>
      <c r="G39" t="n">
        <v>49.8</v>
      </c>
      <c r="H39" t="n">
        <v>0.498</v>
      </c>
      <c r="I39" t="inlineStr">
        <is>
          <t>non</t>
        </is>
      </c>
      <c r="J39">
        <f>MAX(H39,1-H39)</f>
        <v/>
      </c>
      <c r="K39">
        <f>_xlfn.IFS(
J39&lt;=0.55,"50~55",
J39&lt;=0.6,"55~60",
J39&lt;=0.65,"60~65",
J39&lt;=0.7,"65~70",
TRUE,"70~100"
)</f>
        <v/>
      </c>
      <c r="L39">
        <f>IF(H39&gt;=0.5,"HOME","AWAY")</f>
        <v/>
      </c>
      <c r="M39">
        <f>IF(AND(N39&lt;&gt;"", OR(N39=0, N39=1)), (J39-N39)^2, "")</f>
        <v/>
      </c>
      <c r="N39" t="n">
        <v>0</v>
      </c>
      <c r="O39">
        <f>IF(AND(N39&lt;&gt;"", OR(N39=0, N39=1)), IF(ROUND(H39,0)=N39, 1, 0), "")</f>
        <v/>
      </c>
    </row>
    <row r="40">
      <c r="A40" t="n">
        <v>20260084</v>
      </c>
      <c r="B40" t="inlineStr">
        <is>
          <t>2026-04-16</t>
        </is>
      </c>
      <c r="C40" t="inlineStr">
        <is>
          <t>KIA</t>
        </is>
      </c>
      <c r="D40" t="inlineStr">
        <is>
          <t>키움</t>
        </is>
      </c>
      <c r="E40" t="n">
        <v>2002</v>
      </c>
      <c r="F40" t="n">
        <v>10001</v>
      </c>
      <c r="G40" t="n">
        <v>49.73</v>
      </c>
      <c r="H40" t="n">
        <v>0.4973</v>
      </c>
      <c r="I40" t="inlineStr">
        <is>
          <t>non</t>
        </is>
      </c>
      <c r="J40">
        <f>MAX(H40,1-H40)</f>
        <v/>
      </c>
      <c r="K40">
        <f>_xlfn.IFS(
J40&lt;=0.55,"50~55",
J40&lt;=0.6,"55~60",
J40&lt;=0.65,"60~65",
J40&lt;=0.7,"65~70",
TRUE,"70~100"
)</f>
        <v/>
      </c>
      <c r="L40">
        <f>IF(H40&gt;=0.5,"HOME","AWAY")</f>
        <v/>
      </c>
      <c r="M40">
        <f>IF(AND(N40&lt;&gt;"", OR(N40=0, N40=1)), (J40-N40)^2, "")</f>
        <v/>
      </c>
      <c r="N40" t="n">
        <v>1</v>
      </c>
      <c r="O40">
        <f>IF(AND(N40&lt;&gt;"", OR(N40=0, N40=1)), IF(ROUND(H40,0)=N40, 1, 0), "")</f>
        <v/>
      </c>
    </row>
    <row r="41">
      <c r="A41" t="n">
        <v>20260085</v>
      </c>
      <c r="B41" t="inlineStr">
        <is>
          <t>2026-04-16</t>
        </is>
      </c>
      <c r="C41" t="inlineStr">
        <is>
          <t>NC</t>
        </is>
      </c>
      <c r="D41" t="inlineStr">
        <is>
          <t>KT</t>
        </is>
      </c>
      <c r="E41" t="n">
        <v>11001</v>
      </c>
      <c r="F41" t="n">
        <v>12001</v>
      </c>
      <c r="G41" t="n">
        <v>50.79</v>
      </c>
      <c r="H41" t="n">
        <v>0.5079</v>
      </c>
      <c r="I41" t="inlineStr">
        <is>
          <t>non</t>
        </is>
      </c>
      <c r="J41">
        <f>MAX(H41,1-H41)</f>
        <v/>
      </c>
      <c r="K41">
        <f>_xlfn.IFS(
J41&lt;=0.55,"50~55",
J41&lt;=0.6,"55~60",
J41&lt;=0.65,"60~65",
J41&lt;=0.7,"65~70",
TRUE,"70~100"
)</f>
        <v/>
      </c>
      <c r="L41">
        <f>IF(H41&gt;=0.5,"HOME","AWAY")</f>
        <v/>
      </c>
      <c r="M41">
        <f>IF(AND(N41&lt;&gt;"", OR(N41=0, N41=1)), (J41-N41)^2, "")</f>
        <v/>
      </c>
      <c r="N41" t="n">
        <v>0</v>
      </c>
      <c r="O41">
        <f>IF(AND(N41&lt;&gt;"", OR(N41=0, N41=1)), IF(ROUND(H41,0)=N41, 1, 0), "")</f>
        <v/>
      </c>
    </row>
    <row r="42">
      <c r="A42" t="n">
        <v>20260086</v>
      </c>
      <c r="B42" t="inlineStr">
        <is>
          <t>2026-04-17</t>
        </is>
      </c>
      <c r="C42" t="inlineStr">
        <is>
          <t>두산</t>
        </is>
      </c>
      <c r="D42" t="inlineStr">
        <is>
          <t>KIA</t>
        </is>
      </c>
      <c r="E42" t="n">
        <v>6002</v>
      </c>
      <c r="F42" t="n">
        <v>2002</v>
      </c>
      <c r="G42" t="n">
        <v>53.6</v>
      </c>
      <c r="H42" t="n">
        <v>0.536</v>
      </c>
      <c r="I42" t="inlineStr">
        <is>
          <t>non</t>
        </is>
      </c>
      <c r="J42">
        <f>MAX(H42,1-H42)</f>
        <v/>
      </c>
      <c r="K42">
        <f>_xlfn.IFS(
J42&lt;=0.55,"50~55",
J42&lt;=0.6,"55~60",
J42&lt;=0.65,"60~65",
J42&lt;=0.7,"65~70",
TRUE,"70~100"
)</f>
        <v/>
      </c>
      <c r="L42">
        <f>IF(H42&gt;=0.5,"HOME","AWAY")</f>
        <v/>
      </c>
      <c r="M42">
        <f>IF(AND(N42&lt;&gt;"", OR(N42=0, N42=1)), (J42-N42)^2, "")</f>
        <v/>
      </c>
      <c r="N42" t="n">
        <v>0</v>
      </c>
      <c r="O42">
        <f>IF(AND(N42&lt;&gt;"", OR(N42=0, N42=1)), IF(ROUND(H42,0)=N42, 1, 0), "")</f>
        <v/>
      </c>
    </row>
    <row r="43">
      <c r="A43" t="n">
        <v>20260087</v>
      </c>
      <c r="B43" t="inlineStr">
        <is>
          <t>2026-04-17</t>
        </is>
      </c>
      <c r="C43" t="inlineStr">
        <is>
          <t>KT</t>
        </is>
      </c>
      <c r="D43" t="inlineStr">
        <is>
          <t>키움</t>
        </is>
      </c>
      <c r="E43" t="n">
        <v>12001</v>
      </c>
      <c r="F43" t="n">
        <v>10001</v>
      </c>
      <c r="G43" t="n">
        <v>55.92</v>
      </c>
      <c r="H43" t="n">
        <v>0.5592</v>
      </c>
      <c r="I43" t="inlineStr">
        <is>
          <t>non</t>
        </is>
      </c>
      <c r="J43">
        <f>MAX(H43,1-H43)</f>
        <v/>
      </c>
      <c r="K43">
        <f>_xlfn.IFS(
J43&lt;=0.55,"50~55",
J43&lt;=0.6,"55~60",
J43&lt;=0.65,"60~65",
J43&lt;=0.7,"65~70",
TRUE,"70~100"
)</f>
        <v/>
      </c>
      <c r="L43">
        <f>IF(H43&gt;=0.5,"HOME","AWAY")</f>
        <v/>
      </c>
      <c r="M43">
        <f>IF(AND(N43&lt;&gt;"", OR(N43=0, N43=1)), (J43-N43)^2, "")</f>
        <v/>
      </c>
      <c r="N43" t="n">
        <v>1</v>
      </c>
      <c r="O43">
        <f>IF(AND(N43&lt;&gt;"", OR(N43=0, N43=1)), IF(ROUND(H43,0)=N43, 1, 0), "")</f>
        <v/>
      </c>
    </row>
    <row r="44">
      <c r="A44" t="n">
        <v>20260088</v>
      </c>
      <c r="B44" t="inlineStr">
        <is>
          <t>2026-04-17</t>
        </is>
      </c>
      <c r="C44" t="inlineStr">
        <is>
          <t>삼성</t>
        </is>
      </c>
      <c r="D44" t="inlineStr">
        <is>
          <t>LG</t>
        </is>
      </c>
      <c r="E44" t="n">
        <v>1001</v>
      </c>
      <c r="F44" t="n">
        <v>5002</v>
      </c>
      <c r="G44" t="n">
        <v>50.52</v>
      </c>
      <c r="H44" t="n">
        <v>0.5052</v>
      </c>
      <c r="I44" t="inlineStr">
        <is>
          <t>non</t>
        </is>
      </c>
      <c r="J44">
        <f>MAX(H44,1-H44)</f>
        <v/>
      </c>
      <c r="K44">
        <f>_xlfn.IFS(
J44&lt;=0.55,"50~55",
J44&lt;=0.6,"55~60",
J44&lt;=0.65,"60~65",
J44&lt;=0.7,"65~70",
TRUE,"70~100"
)</f>
        <v/>
      </c>
      <c r="L44">
        <f>IF(H44&gt;=0.5,"HOME","AWAY")</f>
        <v/>
      </c>
      <c r="M44">
        <f>IF(AND(N44&lt;&gt;"", OR(N44=0, N44=1)), (J44-N44)^2, "")</f>
        <v/>
      </c>
      <c r="N44" t="inlineStr">
        <is>
          <t>cancel</t>
        </is>
      </c>
      <c r="O44">
        <f>IF(AND(N44&lt;&gt;"", OR(N44=0, N44=1)), IF(ROUND(H44,0)=N44, 1, 0), "")</f>
        <v/>
      </c>
    </row>
    <row r="45">
      <c r="A45" t="n">
        <v>20260089</v>
      </c>
      <c r="B45" t="inlineStr">
        <is>
          <t>2026-04-17</t>
        </is>
      </c>
      <c r="C45" t="inlineStr">
        <is>
          <t>롯데</t>
        </is>
      </c>
      <c r="D45" t="inlineStr">
        <is>
          <t>한화</t>
        </is>
      </c>
      <c r="E45" t="n">
        <v>3001</v>
      </c>
      <c r="F45" t="n">
        <v>7002</v>
      </c>
      <c r="G45" t="n">
        <v>42.85</v>
      </c>
      <c r="H45" t="n">
        <v>0.4285</v>
      </c>
      <c r="I45" t="inlineStr">
        <is>
          <t>non</t>
        </is>
      </c>
      <c r="J45">
        <f>MAX(H45,1-H45)</f>
        <v/>
      </c>
      <c r="K45">
        <f>_xlfn.IFS(
J45&lt;=0.55,"50~55",
J45&lt;=0.6,"55~60",
J45&lt;=0.65,"60~65",
J45&lt;=0.7,"65~70",
TRUE,"70~100"
)</f>
        <v/>
      </c>
      <c r="L45">
        <f>IF(H45&gt;=0.5,"HOME","AWAY")</f>
        <v/>
      </c>
      <c r="M45">
        <f>IF(AND(N45&lt;&gt;"", OR(N45=0, N45=1)), (J45-N45)^2, "")</f>
        <v/>
      </c>
      <c r="N45" t="inlineStr">
        <is>
          <t>cancel</t>
        </is>
      </c>
      <c r="O45">
        <f>IF(AND(N45&lt;&gt;"", OR(N45=0, N45=1)), IF(ROUND(H45,0)=N45, 1, 0), "")</f>
        <v/>
      </c>
    </row>
    <row r="46">
      <c r="A46" t="n">
        <v>20260090</v>
      </c>
      <c r="B46" t="inlineStr">
        <is>
          <t>2026-04-17</t>
        </is>
      </c>
      <c r="C46" t="inlineStr">
        <is>
          <t>NC</t>
        </is>
      </c>
      <c r="D46" t="inlineStr">
        <is>
          <t>SSG</t>
        </is>
      </c>
      <c r="E46" t="n">
        <v>11001</v>
      </c>
      <c r="F46" t="n">
        <v>9002</v>
      </c>
      <c r="G46" t="n">
        <v>49.71</v>
      </c>
      <c r="H46" t="n">
        <v>0.4971</v>
      </c>
      <c r="I46" t="inlineStr">
        <is>
          <t>non</t>
        </is>
      </c>
      <c r="J46">
        <f>MAX(H46,1-H46)</f>
        <v/>
      </c>
      <c r="K46">
        <f>_xlfn.IFS(
J46&lt;=0.55,"50~55",
J46&lt;=0.6,"55~60",
J46&lt;=0.65,"60~65",
J46&lt;=0.7,"65~70",
TRUE,"70~100"
)</f>
        <v/>
      </c>
      <c r="L46">
        <f>IF(H46&gt;=0.5,"HOME","AWAY")</f>
        <v/>
      </c>
      <c r="M46">
        <f>IF(AND(N46&lt;&gt;"", OR(N46=0, N46=1)), (J46-N46)^2, "")</f>
        <v/>
      </c>
      <c r="N46" t="inlineStr">
        <is>
          <t>cancel</t>
        </is>
      </c>
      <c r="O46">
        <f>IF(AND(N46&lt;&gt;"", OR(N46=0, N46=1)), IF(ROUND(H46,0)=N46, 1, 0), "")</f>
        <v/>
      </c>
    </row>
    <row r="47">
      <c r="A47" t="n">
        <v>20260091</v>
      </c>
      <c r="B47" t="inlineStr">
        <is>
          <t>2026-04-18</t>
        </is>
      </c>
      <c r="C47" t="inlineStr">
        <is>
          <t>두산</t>
        </is>
      </c>
      <c r="D47" t="inlineStr">
        <is>
          <t>KIA</t>
        </is>
      </c>
      <c r="E47" t="n">
        <v>6002</v>
      </c>
      <c r="F47" t="n">
        <v>2002</v>
      </c>
      <c r="G47" t="n">
        <v>31.55</v>
      </c>
      <c r="H47" t="n">
        <v>0.3155</v>
      </c>
      <c r="I47" t="inlineStr">
        <is>
          <t>sp</t>
        </is>
      </c>
      <c r="J47">
        <f>MAX(H47,1-H47)</f>
        <v/>
      </c>
      <c r="K47">
        <f>_xlfn.IFS(
J47&lt;=0.55,"50~55",
J47&lt;=0.6,"55~60",
J47&lt;=0.65,"60~65",
J47&lt;=0.7,"65~70",
TRUE,"70~100"
)</f>
        <v/>
      </c>
      <c r="L47">
        <f>IF(H47&gt;=0.5,"HOME","AWAY")</f>
        <v/>
      </c>
      <c r="M47">
        <f>IF(AND(N47&lt;&gt;"", OR(N47=0, N47=1)), (J47-N47)^2, "")</f>
        <v/>
      </c>
      <c r="N47" t="n">
        <v>1</v>
      </c>
      <c r="O47">
        <f>IF(AND(N47&lt;&gt;"", OR(N47=0, N47=1)), IF(ROUND(H47,0)=N47, 1, 0), "")</f>
        <v/>
      </c>
    </row>
    <row r="48">
      <c r="A48" t="n">
        <v>20260092</v>
      </c>
      <c r="B48" t="inlineStr">
        <is>
          <t>2026-04-18</t>
        </is>
      </c>
      <c r="C48" t="inlineStr">
        <is>
          <t>KT</t>
        </is>
      </c>
      <c r="D48" t="inlineStr">
        <is>
          <t>키움</t>
        </is>
      </c>
      <c r="E48" t="n">
        <v>12001</v>
      </c>
      <c r="F48" t="n">
        <v>10001</v>
      </c>
      <c r="G48" t="n">
        <v>56.35</v>
      </c>
      <c r="H48" t="n">
        <v>0.5635</v>
      </c>
      <c r="I48" t="inlineStr">
        <is>
          <t>sp</t>
        </is>
      </c>
      <c r="J48">
        <f>MAX(H48,1-H48)</f>
        <v/>
      </c>
      <c r="K48">
        <f>_xlfn.IFS(
J48&lt;=0.55,"50~55",
J48&lt;=0.6,"55~60",
J48&lt;=0.65,"60~65",
J48&lt;=0.7,"65~70",
TRUE,"70~100"
)</f>
        <v/>
      </c>
      <c r="L48">
        <f>IF(H48&gt;=0.5,"HOME","AWAY")</f>
        <v/>
      </c>
      <c r="M48">
        <f>IF(AND(N48&lt;&gt;"", OR(N48=0, N48=1)), (J48-N48)^2, "")</f>
        <v/>
      </c>
      <c r="N48" t="n">
        <v>1</v>
      </c>
      <c r="O48">
        <f>IF(AND(N48&lt;&gt;"", OR(N48=0, N48=1)), IF(ROUND(H48,0)=N48, 1, 0), "")</f>
        <v/>
      </c>
    </row>
    <row r="49">
      <c r="A49" t="n">
        <v>20260093</v>
      </c>
      <c r="B49" t="inlineStr">
        <is>
          <t>2026-04-18</t>
        </is>
      </c>
      <c r="C49" t="inlineStr">
        <is>
          <t>삼성</t>
        </is>
      </c>
      <c r="D49" t="inlineStr">
        <is>
          <t>LG</t>
        </is>
      </c>
      <c r="E49" t="n">
        <v>1001</v>
      </c>
      <c r="F49" t="n">
        <v>5002</v>
      </c>
      <c r="G49" t="n">
        <v>44.98</v>
      </c>
      <c r="H49" t="n">
        <v>0.4498</v>
      </c>
      <c r="I49" t="inlineStr">
        <is>
          <t>sp</t>
        </is>
      </c>
      <c r="J49">
        <f>MAX(H49,1-H49)</f>
        <v/>
      </c>
      <c r="K49">
        <f>_xlfn.IFS(
J49&lt;=0.55,"50~55",
J49&lt;=0.6,"55~60",
J49&lt;=0.65,"60~65",
J49&lt;=0.7,"65~70",
TRUE,"70~100"
)</f>
        <v/>
      </c>
      <c r="L49">
        <f>IF(H49&gt;=0.5,"HOME","AWAY")</f>
        <v/>
      </c>
      <c r="M49">
        <f>IF(AND(N49&lt;&gt;"", OR(N49=0, N49=1)), (J49-N49)^2, "")</f>
        <v/>
      </c>
      <c r="N49" t="n">
        <v>1</v>
      </c>
      <c r="O49">
        <f>IF(AND(N49&lt;&gt;"", OR(N49=0, N49=1)), IF(ROUND(H49,0)=N49, 1, 0), "")</f>
        <v/>
      </c>
    </row>
    <row r="50">
      <c r="A50" t="n">
        <v>20260094</v>
      </c>
      <c r="B50" t="inlineStr">
        <is>
          <t>2026-04-18</t>
        </is>
      </c>
      <c r="C50" t="inlineStr">
        <is>
          <t>롯데</t>
        </is>
      </c>
      <c r="D50" t="inlineStr">
        <is>
          <t>한화</t>
        </is>
      </c>
      <c r="E50" t="n">
        <v>3001</v>
      </c>
      <c r="F50" t="n">
        <v>7002</v>
      </c>
      <c r="G50" t="n">
        <v>42.59</v>
      </c>
      <c r="H50" t="n">
        <v>0.4259</v>
      </c>
      <c r="I50" t="inlineStr">
        <is>
          <t>sp</t>
        </is>
      </c>
      <c r="J50">
        <f>MAX(H50,1-H50)</f>
        <v/>
      </c>
      <c r="K50">
        <f>_xlfn.IFS(
J50&lt;=0.55,"50~55",
J50&lt;=0.6,"55~60",
J50&lt;=0.65,"60~65",
J50&lt;=0.7,"65~70",
TRUE,"70~100"
)</f>
        <v/>
      </c>
      <c r="L50">
        <f>IF(H50&gt;=0.5,"HOME","AWAY")</f>
        <v/>
      </c>
      <c r="M50">
        <f>IF(AND(N50&lt;&gt;"", OR(N50=0, N50=1)), (J50-N50)^2, "")</f>
        <v/>
      </c>
      <c r="N50" t="n">
        <v>0</v>
      </c>
      <c r="O50">
        <f>IF(AND(N50&lt;&gt;"", OR(N50=0, N50=1)), IF(ROUND(H50,0)=N50, 1, 0), "")</f>
        <v/>
      </c>
    </row>
    <row r="51">
      <c r="A51" t="n">
        <v>20260095</v>
      </c>
      <c r="B51" t="inlineStr">
        <is>
          <t>2026-04-18</t>
        </is>
      </c>
      <c r="C51" t="inlineStr">
        <is>
          <t>NC</t>
        </is>
      </c>
      <c r="D51" t="inlineStr">
        <is>
          <t>SSG</t>
        </is>
      </c>
      <c r="E51" t="n">
        <v>11001</v>
      </c>
      <c r="F51" t="n">
        <v>9002</v>
      </c>
      <c r="G51" t="n">
        <v>58.07</v>
      </c>
      <c r="H51" t="n">
        <v>0.5807</v>
      </c>
      <c r="I51" t="inlineStr">
        <is>
          <t>sp</t>
        </is>
      </c>
      <c r="J51">
        <f>MAX(H51,1-H51)</f>
        <v/>
      </c>
      <c r="K51">
        <f>_xlfn.IFS(
J51&lt;=0.55,"50~55",
J51&lt;=0.6,"55~60",
J51&lt;=0.65,"60~65",
J51&lt;=0.7,"65~70",
TRUE,"70~100"
)</f>
        <v/>
      </c>
      <c r="L51">
        <f>IF(H51&gt;=0.5,"HOME","AWAY")</f>
        <v/>
      </c>
      <c r="M51">
        <f>IF(AND(N51&lt;&gt;"", OR(N51=0, N51=1)), (J51-N51)^2, "")</f>
        <v/>
      </c>
      <c r="N51" t="n">
        <v>0</v>
      </c>
      <c r="O51">
        <f>IF(AND(N51&lt;&gt;"", OR(N51=0, N51=1)), IF(ROUND(H51,0)=N51, 1, 0), "")</f>
        <v/>
      </c>
    </row>
    <row r="52">
      <c r="A52" t="n">
        <v>20260096</v>
      </c>
      <c r="B52" t="inlineStr">
        <is>
          <t>2026-04-19</t>
        </is>
      </c>
      <c r="C52" t="inlineStr">
        <is>
          <t>두산</t>
        </is>
      </c>
      <c r="D52" t="inlineStr">
        <is>
          <t>KIA</t>
        </is>
      </c>
      <c r="E52" t="n">
        <v>6002</v>
      </c>
      <c r="F52" t="n">
        <v>2002</v>
      </c>
      <c r="G52" t="n">
        <v>56.92</v>
      </c>
      <c r="H52" t="n">
        <v>0.5692</v>
      </c>
      <c r="I52" t="inlineStr">
        <is>
          <t>sp</t>
        </is>
      </c>
      <c r="J52">
        <f>MAX(H52,1-H52)</f>
        <v/>
      </c>
      <c r="K52">
        <f>_xlfn.IFS(
J52&lt;=0.55,"50~55",
J52&lt;=0.6,"55~60",
J52&lt;=0.65,"60~65",
J52&lt;=0.7,"65~70",
TRUE,"70~100"
)</f>
        <v/>
      </c>
      <c r="L52">
        <f>IF(H52&gt;=0.5,"HOME","AWAY")</f>
        <v/>
      </c>
      <c r="M52">
        <f>IF(AND(N52&lt;&gt;"", OR(N52=0, N52=1)), (J52-N52)^2, "")</f>
        <v/>
      </c>
      <c r="N52" t="n">
        <v>1</v>
      </c>
      <c r="O52">
        <f>IF(AND(N52&lt;&gt;"", OR(N52=0, N52=1)), IF(ROUND(H52,0)=N52, 1, 0), "")</f>
        <v/>
      </c>
    </row>
    <row r="53">
      <c r="A53" t="n">
        <v>20260097</v>
      </c>
      <c r="B53" t="inlineStr">
        <is>
          <t>2026-04-19</t>
        </is>
      </c>
      <c r="C53" t="inlineStr">
        <is>
          <t>KT</t>
        </is>
      </c>
      <c r="D53" t="inlineStr">
        <is>
          <t>키움</t>
        </is>
      </c>
      <c r="E53" t="n">
        <v>12001</v>
      </c>
      <c r="F53" t="n">
        <v>10001</v>
      </c>
      <c r="G53" t="n">
        <v>63.18</v>
      </c>
      <c r="H53" t="n">
        <v>0.6318</v>
      </c>
      <c r="I53" t="inlineStr">
        <is>
          <t>sp</t>
        </is>
      </c>
      <c r="J53">
        <f>MAX(H53,1-H53)</f>
        <v/>
      </c>
      <c r="K53">
        <f>_xlfn.IFS(
J53&lt;=0.55,"50~55",
J53&lt;=0.6,"55~60",
J53&lt;=0.65,"60~65",
J53&lt;=0.7,"65~70",
TRUE,"70~100"
)</f>
        <v/>
      </c>
      <c r="L53">
        <f>IF(H53&gt;=0.5,"HOME","AWAY")</f>
        <v/>
      </c>
      <c r="M53">
        <f>IF(AND(N53&lt;&gt;"", OR(N53=0, N53=1)), (J53-N53)^2, "")</f>
        <v/>
      </c>
      <c r="N53" t="n">
        <v>0</v>
      </c>
      <c r="O53">
        <f>IF(AND(N53&lt;&gt;"", OR(N53=0, N53=1)), IF(ROUND(H53,0)=N53, 1, 0), "")</f>
        <v/>
      </c>
    </row>
    <row r="54">
      <c r="A54" t="n">
        <v>20260098</v>
      </c>
      <c r="B54" t="inlineStr">
        <is>
          <t>2026-04-19</t>
        </is>
      </c>
      <c r="C54" t="inlineStr">
        <is>
          <t>삼성</t>
        </is>
      </c>
      <c r="D54" t="inlineStr">
        <is>
          <t>LG</t>
        </is>
      </c>
      <c r="E54" t="n">
        <v>1001</v>
      </c>
      <c r="F54" t="n">
        <v>5002</v>
      </c>
      <c r="G54" t="n">
        <v>60.41</v>
      </c>
      <c r="H54" t="n">
        <v>0.6041</v>
      </c>
      <c r="I54" t="inlineStr">
        <is>
          <t>sp</t>
        </is>
      </c>
      <c r="J54">
        <f>MAX(H54,1-H54)</f>
        <v/>
      </c>
      <c r="K54">
        <f>_xlfn.IFS(
J54&lt;=0.55,"50~55",
J54&lt;=0.6,"55~60",
J54&lt;=0.65,"60~65",
J54&lt;=0.7,"65~70",
TRUE,"70~100"
)</f>
        <v/>
      </c>
      <c r="L54">
        <f>IF(H54&gt;=0.5,"HOME","AWAY")</f>
        <v/>
      </c>
      <c r="M54">
        <f>IF(AND(N54&lt;&gt;"", OR(N54=0, N54=1)), (J54-N54)^2, "")</f>
        <v/>
      </c>
      <c r="N54" t="n">
        <v>0</v>
      </c>
      <c r="O54">
        <f>IF(AND(N54&lt;&gt;"", OR(N54=0, N54=1)), IF(ROUND(H54,0)=N54, 1, 0), "")</f>
        <v/>
      </c>
    </row>
    <row r="55">
      <c r="A55" t="n">
        <v>20260099</v>
      </c>
      <c r="B55" t="inlineStr">
        <is>
          <t>2026-04-19</t>
        </is>
      </c>
      <c r="C55" t="inlineStr">
        <is>
          <t>롯데</t>
        </is>
      </c>
      <c r="D55" t="inlineStr">
        <is>
          <t>한화</t>
        </is>
      </c>
      <c r="E55" t="n">
        <v>3001</v>
      </c>
      <c r="F55" t="n">
        <v>7002</v>
      </c>
      <c r="G55" t="n">
        <v>72.73999999999999</v>
      </c>
      <c r="H55" t="n">
        <v>0.7274</v>
      </c>
      <c r="I55" t="inlineStr">
        <is>
          <t>sp</t>
        </is>
      </c>
      <c r="J55">
        <f>MAX(H55,1-H55)</f>
        <v/>
      </c>
      <c r="K55">
        <f>_xlfn.IFS(
J55&lt;=0.55,"50~55",
J55&lt;=0.6,"55~60",
J55&lt;=0.65,"60~65",
J55&lt;=0.7,"65~70",
TRUE,"70~100"
)</f>
        <v/>
      </c>
      <c r="L55">
        <f>IF(H55&gt;=0.5,"HOME","AWAY")</f>
        <v/>
      </c>
      <c r="M55">
        <f>IF(AND(N55&lt;&gt;"", OR(N55=0, N55=1)), (J55-N55)^2, "")</f>
        <v/>
      </c>
      <c r="N55" t="n">
        <v>1</v>
      </c>
      <c r="O55">
        <f>IF(AND(N55&lt;&gt;"", OR(N55=0, N55=1)), IF(ROUND(H55,0)=N55, 1, 0), "")</f>
        <v/>
      </c>
    </row>
    <row r="56">
      <c r="A56" t="n">
        <v>20260100</v>
      </c>
      <c r="B56" t="inlineStr">
        <is>
          <t>2026-04-19</t>
        </is>
      </c>
      <c r="C56" t="inlineStr">
        <is>
          <t>NC</t>
        </is>
      </c>
      <c r="D56" t="inlineStr">
        <is>
          <t>SSG</t>
        </is>
      </c>
      <c r="E56" t="n">
        <v>11001</v>
      </c>
      <c r="F56" t="n">
        <v>9002</v>
      </c>
      <c r="G56" t="n">
        <v>74.58</v>
      </c>
      <c r="H56" t="n">
        <v>0.7458</v>
      </c>
      <c r="I56" t="inlineStr">
        <is>
          <t>sp</t>
        </is>
      </c>
      <c r="J56">
        <f>MAX(H56,1-H56)</f>
        <v/>
      </c>
      <c r="K56">
        <f>_xlfn.IFS(
J56&lt;=0.55,"50~55",
J56&lt;=0.6,"55~60",
J56&lt;=0.65,"60~65",
J56&lt;=0.7,"65~70",
TRUE,"70~100"
)</f>
        <v/>
      </c>
      <c r="L56">
        <f>IF(H56&gt;=0.5,"HOME","AWAY")</f>
        <v/>
      </c>
      <c r="M56">
        <f>IF(AND(N56&lt;&gt;"", OR(N56=0, N56=1)), (J56-N56)^2, "")</f>
        <v/>
      </c>
      <c r="N56" t="n">
        <v>0</v>
      </c>
      <c r="O56">
        <f>IF(AND(N56&lt;&gt;"", OR(N56=0, N56=1)), IF(ROUND(H56,0)=N56, 1, 0), "")</f>
        <v/>
      </c>
    </row>
    <row r="57">
      <c r="A57" t="n">
        <v>20260101</v>
      </c>
      <c r="B57" t="inlineStr">
        <is>
          <t>2026-04-21</t>
        </is>
      </c>
      <c r="C57" t="inlineStr">
        <is>
          <t>LG</t>
        </is>
      </c>
      <c r="D57" t="inlineStr">
        <is>
          <t>한화</t>
        </is>
      </c>
      <c r="E57" t="n">
        <v>5002</v>
      </c>
      <c r="F57" t="n">
        <v>7002</v>
      </c>
      <c r="G57" t="n">
        <v>60.2</v>
      </c>
      <c r="H57" t="n">
        <v>0.602</v>
      </c>
      <c r="I57" t="inlineStr">
        <is>
          <t>full</t>
        </is>
      </c>
      <c r="J57">
        <f>MAX(H57,1-H57)</f>
        <v/>
      </c>
      <c r="K57">
        <f>_xlfn.IFS(
J57&lt;=0.55,"50~55",
J57&lt;=0.6,"55~60",
J57&lt;=0.65,"60~65",
J57&lt;=0.7,"65~70",
TRUE,"70~100"
)</f>
        <v/>
      </c>
      <c r="L57">
        <f>IF(H57&gt;=0.5,"HOME","AWAY")</f>
        <v/>
      </c>
      <c r="M57">
        <f>IF(AND(N57&lt;&gt;"", OR(N57=0, N57=1)), (J57-N57)^2, "")</f>
        <v/>
      </c>
      <c r="N57" t="n">
        <v>1</v>
      </c>
      <c r="O57">
        <f>IF(AND(N57&lt;&gt;"", OR(N57=0, N57=1)), IF(ROUND(H57,0)=N57, 1, 0), "")</f>
        <v/>
      </c>
    </row>
    <row r="58">
      <c r="A58" t="n">
        <v>20260102</v>
      </c>
      <c r="B58" t="inlineStr">
        <is>
          <t>2026-04-21</t>
        </is>
      </c>
      <c r="C58" t="inlineStr">
        <is>
          <t>키움</t>
        </is>
      </c>
      <c r="D58" t="inlineStr">
        <is>
          <t>NC</t>
        </is>
      </c>
      <c r="E58" t="n">
        <v>10001</v>
      </c>
      <c r="F58" t="n">
        <v>11001</v>
      </c>
      <c r="G58" t="n">
        <v>37.09</v>
      </c>
      <c r="H58" t="n">
        <v>0.3709</v>
      </c>
      <c r="I58" t="inlineStr">
        <is>
          <t>full</t>
        </is>
      </c>
      <c r="J58">
        <f>MAX(H58,1-H58)</f>
        <v/>
      </c>
      <c r="K58">
        <f>_xlfn.IFS(
J58&lt;=0.55,"50~55",
J58&lt;=0.6,"55~60",
J58&lt;=0.65,"60~65",
J58&lt;=0.7,"65~70",
TRUE,"70~100"
)</f>
        <v/>
      </c>
      <c r="L58">
        <f>IF(H58&gt;=0.5,"HOME","AWAY")</f>
        <v/>
      </c>
      <c r="M58">
        <f>IF(AND(N58&lt;&gt;"", OR(N58=0, N58=1)), (J58-N58)^2, "")</f>
        <v/>
      </c>
      <c r="N58" t="n">
        <v>1</v>
      </c>
      <c r="O58">
        <f>IF(AND(N58&lt;&gt;"", OR(N58=0, N58=1)), IF(ROUND(H58,0)=N58, 1, 0), "")</f>
        <v/>
      </c>
    </row>
    <row r="59">
      <c r="A59" t="n">
        <v>20260103</v>
      </c>
      <c r="B59" t="inlineStr">
        <is>
          <t>2026-04-21</t>
        </is>
      </c>
      <c r="C59" t="inlineStr">
        <is>
          <t>KT</t>
        </is>
      </c>
      <c r="D59" t="inlineStr">
        <is>
          <t>KIA</t>
        </is>
      </c>
      <c r="E59" t="n">
        <v>12001</v>
      </c>
      <c r="F59" t="n">
        <v>2002</v>
      </c>
      <c r="G59" t="n">
        <v>84.59999999999999</v>
      </c>
      <c r="H59" t="n">
        <v>0.846</v>
      </c>
      <c r="I59" t="inlineStr">
        <is>
          <t>full</t>
        </is>
      </c>
      <c r="J59">
        <f>MAX(H59,1-H59)</f>
        <v/>
      </c>
      <c r="K59">
        <f>_xlfn.IFS(
J59&lt;=0.55,"50~55",
J59&lt;=0.6,"55~60",
J59&lt;=0.65,"60~65",
J59&lt;=0.7,"65~70",
TRUE,"70~100"
)</f>
        <v/>
      </c>
      <c r="L59">
        <f>IF(H59&gt;=0.5,"HOME","AWAY")</f>
        <v/>
      </c>
      <c r="M59">
        <f>IF(AND(N59&lt;&gt;"", OR(N59=0, N59=1)), (J59-N59)^2, "")</f>
        <v/>
      </c>
      <c r="N59" t="n">
        <v>1</v>
      </c>
      <c r="O59">
        <f>IF(AND(N59&lt;&gt;"", OR(N59=0, N59=1)), IF(ROUND(H59,0)=N59, 1, 0), "")</f>
        <v/>
      </c>
    </row>
    <row r="60">
      <c r="A60" t="n">
        <v>20260104</v>
      </c>
      <c r="B60" t="inlineStr">
        <is>
          <t>2026-04-21</t>
        </is>
      </c>
      <c r="C60" t="inlineStr">
        <is>
          <t>삼성</t>
        </is>
      </c>
      <c r="D60" t="inlineStr">
        <is>
          <t>SSG</t>
        </is>
      </c>
      <c r="E60" t="n">
        <v>1001</v>
      </c>
      <c r="F60" t="n">
        <v>9002</v>
      </c>
      <c r="G60" t="n">
        <v>53.4</v>
      </c>
      <c r="H60" t="n">
        <v>0.534</v>
      </c>
      <c r="I60" t="inlineStr">
        <is>
          <t>full</t>
        </is>
      </c>
      <c r="J60">
        <f>MAX(H60,1-H60)</f>
        <v/>
      </c>
      <c r="K60">
        <f>_xlfn.IFS(
J60&lt;=0.55,"50~55",
J60&lt;=0.6,"55~60",
J60&lt;=0.65,"60~65",
J60&lt;=0.7,"65~70",
TRUE,"70~100"
)</f>
        <v/>
      </c>
      <c r="L60">
        <f>IF(H60&gt;=0.5,"HOME","AWAY")</f>
        <v/>
      </c>
      <c r="M60">
        <f>IF(AND(N60&lt;&gt;"", OR(N60=0, N60=1)), (J60-N60)^2, "")</f>
        <v/>
      </c>
      <c r="N60" t="n">
        <v>0</v>
      </c>
      <c r="O60">
        <f>IF(AND(N60&lt;&gt;"", OR(N60=0, N60=1)), IF(ROUND(H60,0)=N60, 1, 0), "")</f>
        <v/>
      </c>
    </row>
    <row r="61">
      <c r="A61" t="n">
        <v>20260105</v>
      </c>
      <c r="B61" t="inlineStr">
        <is>
          <t>2026-04-21</t>
        </is>
      </c>
      <c r="C61" t="inlineStr">
        <is>
          <t>롯데</t>
        </is>
      </c>
      <c r="D61" t="inlineStr">
        <is>
          <t>두산</t>
        </is>
      </c>
      <c r="E61" t="n">
        <v>3001</v>
      </c>
      <c r="F61" t="n">
        <v>6002</v>
      </c>
      <c r="G61" t="n">
        <v>60.27</v>
      </c>
      <c r="H61" t="n">
        <v>0.6027</v>
      </c>
      <c r="I61" t="inlineStr">
        <is>
          <t>full</t>
        </is>
      </c>
      <c r="J61">
        <f>MAX(H61,1-H61)</f>
        <v/>
      </c>
      <c r="K61">
        <f>_xlfn.IFS(
J61&lt;=0.55,"50~55",
J61&lt;=0.6,"55~60",
J61&lt;=0.65,"60~65",
J61&lt;=0.7,"65~70",
TRUE,"70~100"
)</f>
        <v/>
      </c>
      <c r="L61">
        <f>IF(H61&gt;=0.5,"HOME","AWAY")</f>
        <v/>
      </c>
      <c r="M61">
        <f>IF(AND(N61&lt;&gt;"", OR(N61=0, N61=1)), (J61-N61)^2, "")</f>
        <v/>
      </c>
      <c r="N61" t="n">
        <v>0</v>
      </c>
      <c r="O61">
        <f>IF(AND(N61&lt;&gt;"", OR(N61=0, N61=1)), IF(ROUND(H61,0)=N61, 1, 0), "")</f>
        <v/>
      </c>
    </row>
    <row r="62">
      <c r="A62" t="n">
        <v>20260106</v>
      </c>
      <c r="B62" t="inlineStr">
        <is>
          <t>2026-04-22</t>
        </is>
      </c>
      <c r="C62" t="inlineStr">
        <is>
          <t>LG</t>
        </is>
      </c>
      <c r="D62" t="inlineStr">
        <is>
          <t>한화</t>
        </is>
      </c>
      <c r="E62" t="n">
        <v>5002</v>
      </c>
      <c r="F62" t="n">
        <v>7002</v>
      </c>
      <c r="G62" t="n">
        <v>36.57</v>
      </c>
      <c r="H62" t="n">
        <v>0.3657</v>
      </c>
      <c r="I62" t="inlineStr">
        <is>
          <t>full</t>
        </is>
      </c>
      <c r="J62">
        <f>MAX(H62,1-H62)</f>
        <v/>
      </c>
      <c r="K62">
        <f>_xlfn.IFS(
J62&lt;=0.55,"50~55",
J62&lt;=0.6,"55~60",
J62&lt;=0.65,"60~65",
J62&lt;=0.7,"65~70",
TRUE,"70~100"
)</f>
        <v/>
      </c>
      <c r="L62">
        <f>IF(H62&gt;=0.5,"HOME","AWAY")</f>
        <v/>
      </c>
      <c r="M62">
        <f>IF(AND(N62&lt;&gt;"", OR(N62=0, N62=1)), (J62-N62)^2, "")</f>
        <v/>
      </c>
      <c r="N62" t="n">
        <v>1</v>
      </c>
      <c r="O62">
        <f>IF(AND(N62&lt;&gt;"", OR(N62=0, N62=1)), IF(ROUND(H62,0)=N62, 1, 0), "")</f>
        <v/>
      </c>
    </row>
    <row r="63">
      <c r="A63" t="n">
        <v>20260107</v>
      </c>
      <c r="B63" t="inlineStr">
        <is>
          <t>2026-04-22</t>
        </is>
      </c>
      <c r="C63" t="inlineStr">
        <is>
          <t>키움</t>
        </is>
      </c>
      <c r="D63" t="inlineStr">
        <is>
          <t>NC</t>
        </is>
      </c>
      <c r="E63" t="n">
        <v>10001</v>
      </c>
      <c r="F63" t="n">
        <v>11001</v>
      </c>
      <c r="G63" t="n">
        <v>64.45</v>
      </c>
      <c r="H63" t="n">
        <v>0.6445</v>
      </c>
      <c r="I63" t="inlineStr">
        <is>
          <t>full</t>
        </is>
      </c>
      <c r="J63">
        <f>MAX(H63,1-H63)</f>
        <v/>
      </c>
      <c r="K63">
        <f>_xlfn.IFS(
J63&lt;=0.55,"50~55",
J63&lt;=0.6,"55~60",
J63&lt;=0.65,"60~65",
J63&lt;=0.7,"65~70",
TRUE,"70~100"
)</f>
        <v/>
      </c>
      <c r="L63">
        <f>IF(H63&gt;=0.5,"HOME","AWAY")</f>
        <v/>
      </c>
      <c r="M63">
        <f>IF(AND(N63&lt;&gt;"", OR(N63=0, N63=1)), (J63-N63)^2, "")</f>
        <v/>
      </c>
      <c r="N63" t="n">
        <v>1</v>
      </c>
      <c r="O63">
        <f>IF(AND(N63&lt;&gt;"", OR(N63=0, N63=1)), IF(ROUND(H63,0)=N63, 1, 0), "")</f>
        <v/>
      </c>
    </row>
    <row r="64">
      <c r="A64" t="n">
        <v>20260108</v>
      </c>
      <c r="B64" t="inlineStr">
        <is>
          <t>2026-04-22</t>
        </is>
      </c>
      <c r="C64" t="inlineStr">
        <is>
          <t>KT</t>
        </is>
      </c>
      <c r="D64" t="inlineStr">
        <is>
          <t>KIA</t>
        </is>
      </c>
      <c r="E64" t="n">
        <v>12001</v>
      </c>
      <c r="F64" t="n">
        <v>2002</v>
      </c>
      <c r="G64" t="n">
        <v>34.28</v>
      </c>
      <c r="H64" t="n">
        <v>0.3428</v>
      </c>
      <c r="I64" t="inlineStr">
        <is>
          <t>full</t>
        </is>
      </c>
      <c r="J64">
        <f>MAX(H64,1-H64)</f>
        <v/>
      </c>
      <c r="K64">
        <f>_xlfn.IFS(
J64&lt;=0.55,"50~55",
J64&lt;=0.6,"55~60",
J64&lt;=0.65,"60~65",
J64&lt;=0.7,"65~70",
TRUE,"70~100"
)</f>
        <v/>
      </c>
      <c r="L64">
        <f>IF(H64&gt;=0.5,"HOME","AWAY")</f>
        <v/>
      </c>
      <c r="M64">
        <f>IF(AND(N64&lt;&gt;"", OR(N64=0, N64=1)), (J64-N64)^2, "")</f>
        <v/>
      </c>
      <c r="N64" t="n">
        <v>1</v>
      </c>
      <c r="O64">
        <f>IF(AND(N64&lt;&gt;"", OR(N64=0, N64=1)), IF(ROUND(H64,0)=N64, 1, 0), "")</f>
        <v/>
      </c>
    </row>
    <row r="65">
      <c r="A65" t="n">
        <v>20260109</v>
      </c>
      <c r="B65" t="inlineStr">
        <is>
          <t>2026-04-22</t>
        </is>
      </c>
      <c r="C65" t="inlineStr">
        <is>
          <t>삼성</t>
        </is>
      </c>
      <c r="D65" t="inlineStr">
        <is>
          <t>SSG</t>
        </is>
      </c>
      <c r="E65" t="n">
        <v>1001</v>
      </c>
      <c r="F65" t="n">
        <v>9002</v>
      </c>
      <c r="G65" t="n">
        <v>53.52</v>
      </c>
      <c r="H65" t="n">
        <v>0.5352</v>
      </c>
      <c r="I65" t="inlineStr">
        <is>
          <t>full</t>
        </is>
      </c>
      <c r="J65">
        <f>MAX(H65,1-H65)</f>
        <v/>
      </c>
      <c r="K65">
        <f>_xlfn.IFS(
J65&lt;=0.55,"50~55",
J65&lt;=0.6,"55~60",
J65&lt;=0.65,"60~65",
J65&lt;=0.7,"65~70",
TRUE,"70~100"
)</f>
        <v/>
      </c>
      <c r="L65">
        <f>IF(H65&gt;=0.5,"HOME","AWAY")</f>
        <v/>
      </c>
      <c r="M65">
        <f>IF(AND(N65&lt;&gt;"", OR(N65=0, N65=1)), (J65-N65)^2, "")</f>
        <v/>
      </c>
      <c r="N65" t="n">
        <v>0</v>
      </c>
      <c r="O65">
        <f>IF(AND(N65&lt;&gt;"", OR(N65=0, N65=1)), IF(ROUND(H65,0)=N65, 1, 0), "")</f>
        <v/>
      </c>
    </row>
    <row r="66">
      <c r="A66" t="n">
        <v>20260110</v>
      </c>
      <c r="B66" t="inlineStr">
        <is>
          <t>2026-04-22</t>
        </is>
      </c>
      <c r="C66" t="inlineStr">
        <is>
          <t>롯데</t>
        </is>
      </c>
      <c r="D66" t="inlineStr">
        <is>
          <t>두산</t>
        </is>
      </c>
      <c r="E66" t="n">
        <v>3001</v>
      </c>
      <c r="F66" t="n">
        <v>6002</v>
      </c>
      <c r="G66" t="n">
        <v>49.38</v>
      </c>
      <c r="H66" t="n">
        <v>0.4938</v>
      </c>
      <c r="I66" t="inlineStr">
        <is>
          <t>full</t>
        </is>
      </c>
      <c r="J66">
        <f>MAX(H66,1-H66)</f>
        <v/>
      </c>
      <c r="K66">
        <f>_xlfn.IFS(
J66&lt;=0.55,"50~55",
J66&lt;=0.6,"55~60",
J66&lt;=0.65,"60~65",
J66&lt;=0.7,"65~70",
TRUE,"70~100"
)</f>
        <v/>
      </c>
      <c r="L66">
        <f>IF(H66&gt;=0.5,"HOME","AWAY")</f>
        <v/>
      </c>
      <c r="M66">
        <f>IF(AND(N66&lt;&gt;"", OR(N66=0, N66=1)), (J66-N66)^2, "")</f>
        <v/>
      </c>
      <c r="N66" t="n">
        <v>0</v>
      </c>
      <c r="O66">
        <f>IF(AND(N66&lt;&gt;"", OR(N66=0, N66=1)), IF(ROUND(H66,0)=N66, 1, 0), "")</f>
        <v/>
      </c>
    </row>
    <row r="67">
      <c r="A67" t="n">
        <v>20260111</v>
      </c>
      <c r="B67" t="inlineStr">
        <is>
          <t>2026-04-23</t>
        </is>
      </c>
      <c r="C67" t="inlineStr">
        <is>
          <t>LG</t>
        </is>
      </c>
      <c r="D67" t="inlineStr">
        <is>
          <t>한화</t>
        </is>
      </c>
      <c r="E67" t="n">
        <v>5002</v>
      </c>
      <c r="F67" t="n">
        <v>7002</v>
      </c>
      <c r="G67" t="n">
        <v>27.98</v>
      </c>
      <c r="H67" t="n">
        <v>0.2798</v>
      </c>
      <c r="I67" t="inlineStr">
        <is>
          <t>core_full</t>
        </is>
      </c>
      <c r="J67">
        <f>MAX(H67,1-H67)</f>
        <v/>
      </c>
      <c r="K67">
        <f>_xlfn.IFS(
J67&lt;=0.55,"50~55",
J67&lt;=0.6,"55~60",
J67&lt;=0.65,"60~65",
J67&lt;=0.7,"65~70",
TRUE,"70~100"
)</f>
        <v/>
      </c>
      <c r="L67">
        <f>IF(H67&gt;=0.5,"HOME","AWAY")</f>
        <v/>
      </c>
      <c r="M67">
        <f>IF(AND(N67&lt;&gt;"", OR(N67=0, N67=1)), (J67-N67)^2, "")</f>
        <v/>
      </c>
      <c r="N67" t="n">
        <v>0</v>
      </c>
      <c r="O67">
        <f>IF(AND(N67&lt;&gt;"", OR(N67=0, N67=1)), IF(ROUND(H67,0)=N67, 1, 0), "")</f>
        <v/>
      </c>
    </row>
    <row r="68">
      <c r="A68" t="n">
        <v>20260112</v>
      </c>
      <c r="B68" t="inlineStr">
        <is>
          <t>2026-04-23</t>
        </is>
      </c>
      <c r="C68" t="inlineStr">
        <is>
          <t>키움</t>
        </is>
      </c>
      <c r="D68" t="inlineStr">
        <is>
          <t>NC</t>
        </is>
      </c>
      <c r="E68" t="n">
        <v>10001</v>
      </c>
      <c r="F68" t="n">
        <v>11001</v>
      </c>
      <c r="G68" t="n">
        <v>31.51</v>
      </c>
      <c r="H68" t="n">
        <v>0.3151</v>
      </c>
      <c r="I68" t="inlineStr">
        <is>
          <t>core_full</t>
        </is>
      </c>
      <c r="J68">
        <f>MAX(H68,1-H68)</f>
        <v/>
      </c>
      <c r="K68">
        <f>_xlfn.IFS(
J68&lt;=0.55,"50~55",
J68&lt;=0.6,"55~60",
J68&lt;=0.65,"60~65",
J68&lt;=0.7,"65~70",
TRUE,"70~100"
)</f>
        <v/>
      </c>
      <c r="L68">
        <f>IF(H68&gt;=0.5,"HOME","AWAY")</f>
        <v/>
      </c>
      <c r="M68">
        <f>IF(AND(N68&lt;&gt;"", OR(N68=0, N68=1)), (J68-N68)^2, "")</f>
        <v/>
      </c>
      <c r="N68" t="n">
        <v>0</v>
      </c>
      <c r="O68">
        <f>IF(AND(N68&lt;&gt;"", OR(N68=0, N68=1)), IF(ROUND(H68,0)=N68, 1, 0), "")</f>
        <v/>
      </c>
    </row>
    <row r="69">
      <c r="A69" t="n">
        <v>20260113</v>
      </c>
      <c r="B69" t="inlineStr">
        <is>
          <t>2026-04-23</t>
        </is>
      </c>
      <c r="C69" t="inlineStr">
        <is>
          <t>KT</t>
        </is>
      </c>
      <c r="D69" t="inlineStr">
        <is>
          <t>KIA</t>
        </is>
      </c>
      <c r="E69" t="n">
        <v>12001</v>
      </c>
      <c r="F69" t="n">
        <v>2002</v>
      </c>
      <c r="G69" t="n">
        <v>66.39</v>
      </c>
      <c r="H69" t="n">
        <v>0.6639</v>
      </c>
      <c r="I69" t="inlineStr">
        <is>
          <t>core_full</t>
        </is>
      </c>
      <c r="J69">
        <f>MAX(H69,1-H69)</f>
        <v/>
      </c>
      <c r="K69">
        <f>_xlfn.IFS(
J69&lt;=0.55,"50~55",
J69&lt;=0.6,"55~60",
J69&lt;=0.65,"60~65",
J69&lt;=0.7,"65~70",
TRUE,"70~100"
)</f>
        <v/>
      </c>
      <c r="L69">
        <f>IF(H69&gt;=0.5,"HOME","AWAY")</f>
        <v/>
      </c>
      <c r="M69">
        <f>IF(AND(N69&lt;&gt;"", OR(N69=0, N69=1)), (J69-N69)^2, "")</f>
        <v/>
      </c>
      <c r="N69" t="n">
        <v>1</v>
      </c>
      <c r="O69">
        <f>IF(AND(N69&lt;&gt;"", OR(N69=0, N69=1)), IF(ROUND(H69,0)=N69, 1, 0), "")</f>
        <v/>
      </c>
    </row>
    <row r="70">
      <c r="A70" t="n">
        <v>20260114</v>
      </c>
      <c r="B70" t="inlineStr">
        <is>
          <t>2026-04-23</t>
        </is>
      </c>
      <c r="C70" t="inlineStr">
        <is>
          <t>삼성</t>
        </is>
      </c>
      <c r="D70" t="inlineStr">
        <is>
          <t>SSG</t>
        </is>
      </c>
      <c r="E70" t="n">
        <v>1001</v>
      </c>
      <c r="F70" t="n">
        <v>9002</v>
      </c>
      <c r="G70" t="n">
        <v>43.72</v>
      </c>
      <c r="H70" t="n">
        <v>0.4372</v>
      </c>
      <c r="I70" t="inlineStr">
        <is>
          <t>core_full</t>
        </is>
      </c>
      <c r="J70">
        <f>MAX(H70,1-H70)</f>
        <v/>
      </c>
      <c r="K70">
        <f>_xlfn.IFS(
J70&lt;=0.55,"50~55",
J70&lt;=0.6,"55~60",
J70&lt;=0.65,"60~65",
J70&lt;=0.7,"65~70",
TRUE,"70~100"
)</f>
        <v/>
      </c>
      <c r="L70">
        <f>IF(H70&gt;=0.5,"HOME","AWAY")</f>
        <v/>
      </c>
      <c r="M70">
        <f>IF(AND(N70&lt;&gt;"", OR(N70=0, N70=1)), (J70-N70)^2, "")</f>
        <v/>
      </c>
      <c r="N70" t="n">
        <v>0</v>
      </c>
      <c r="O70">
        <f>IF(AND(N70&lt;&gt;"", OR(N70=0, N70=1)), IF(ROUND(H70,0)=N70, 1, 0), "")</f>
        <v/>
      </c>
    </row>
    <row r="71">
      <c r="A71" t="n">
        <v>20260115</v>
      </c>
      <c r="B71" t="inlineStr">
        <is>
          <t>2026-04-23</t>
        </is>
      </c>
      <c r="C71" t="inlineStr">
        <is>
          <t>롯데</t>
        </is>
      </c>
      <c r="D71" t="inlineStr">
        <is>
          <t>두산</t>
        </is>
      </c>
      <c r="E71" t="n">
        <v>3001</v>
      </c>
      <c r="F71" t="n">
        <v>6002</v>
      </c>
      <c r="G71" t="n">
        <v>38.88</v>
      </c>
      <c r="H71" t="n">
        <v>0.3888</v>
      </c>
      <c r="I71" t="inlineStr">
        <is>
          <t>core_full</t>
        </is>
      </c>
      <c r="J71">
        <f>MAX(H71,1-H71)</f>
        <v/>
      </c>
      <c r="K71">
        <f>_xlfn.IFS(
J71&lt;=0.55,"50~55",
J71&lt;=0.6,"55~60",
J71&lt;=0.65,"60~65",
J71&lt;=0.7,"65~70",
TRUE,"70~100"
)</f>
        <v/>
      </c>
      <c r="L71">
        <f>IF(H71&gt;=0.5,"HOME","AWAY")</f>
        <v/>
      </c>
      <c r="M71">
        <f>IF(AND(N71&lt;&gt;"", OR(N71=0, N71=1)), (J71-N71)^2, "")</f>
        <v/>
      </c>
      <c r="N71" t="n">
        <v>1</v>
      </c>
      <c r="O71">
        <f>IF(AND(N71&lt;&gt;"", OR(N71=0, N71=1)), IF(ROUND(H71,0)=N71, 1, 0), "")</f>
        <v/>
      </c>
    </row>
    <row r="72">
      <c r="A72" t="n">
        <v>20260116</v>
      </c>
      <c r="B72" t="inlineStr">
        <is>
          <t>2026-04-24</t>
        </is>
      </c>
      <c r="C72" t="inlineStr">
        <is>
          <t>두산</t>
        </is>
      </c>
      <c r="D72" t="inlineStr">
        <is>
          <t>LG</t>
        </is>
      </c>
      <c r="E72" t="n">
        <v>6002</v>
      </c>
      <c r="F72" t="n">
        <v>5002</v>
      </c>
      <c r="G72" t="n">
        <v>53.33</v>
      </c>
      <c r="H72" t="n">
        <v>0.5333</v>
      </c>
      <c r="I72" t="inlineStr">
        <is>
          <t>core_full</t>
        </is>
      </c>
      <c r="J72">
        <f>MAX(H72,1-H72)</f>
        <v/>
      </c>
      <c r="K72">
        <f>_xlfn.IFS(
J72&lt;=0.55,"50~55",
J72&lt;=0.6,"55~60",
J72&lt;=0.65,"60~65",
J72&lt;=0.7,"65~70",
TRUE,"70~100"
)</f>
        <v/>
      </c>
      <c r="L72">
        <f>IF(H72&gt;=0.5,"HOME","AWAY")</f>
        <v/>
      </c>
      <c r="M72">
        <f>IF(AND(N72&lt;&gt;"", OR(N72=0, N72=1)), (J72-N72)^2, "")</f>
        <v/>
      </c>
      <c r="N72" t="n">
        <v>0</v>
      </c>
      <c r="O72">
        <f>IF(AND(N72&lt;&gt;"", OR(N72=0, N72=1)), IF(ROUND(H72,0)=N72, 1, 0), "")</f>
        <v/>
      </c>
    </row>
    <row r="73">
      <c r="A73" t="n">
        <v>20260117</v>
      </c>
      <c r="B73" t="inlineStr">
        <is>
          <t>2026-04-24</t>
        </is>
      </c>
      <c r="C73" t="inlineStr">
        <is>
          <t>키움</t>
        </is>
      </c>
      <c r="D73" t="inlineStr">
        <is>
          <t>삼성</t>
        </is>
      </c>
      <c r="E73" t="n">
        <v>10001</v>
      </c>
      <c r="F73" t="n">
        <v>1001</v>
      </c>
      <c r="G73" t="n">
        <v>60.71</v>
      </c>
      <c r="H73" t="n">
        <v>0.6071</v>
      </c>
      <c r="I73" t="inlineStr">
        <is>
          <t>core_full</t>
        </is>
      </c>
      <c r="J73">
        <f>MAX(H73,1-H73)</f>
        <v/>
      </c>
      <c r="K73">
        <f>_xlfn.IFS(
J73&lt;=0.55,"50~55",
J73&lt;=0.6,"55~60",
J73&lt;=0.65,"60~65",
J73&lt;=0.7,"65~70",
TRUE,"70~100"
)</f>
        <v/>
      </c>
      <c r="L73">
        <f>IF(H73&gt;=0.5,"HOME","AWAY")</f>
        <v/>
      </c>
      <c r="M73">
        <f>IF(AND(N73&lt;&gt;"", OR(N73=0, N73=1)), (J73-N73)^2, "")</f>
        <v/>
      </c>
      <c r="N73" t="n">
        <v>1</v>
      </c>
      <c r="O73">
        <f>IF(AND(N73&lt;&gt;"", OR(N73=0, N73=1)), IF(ROUND(H73,0)=N73, 1, 0), "")</f>
        <v/>
      </c>
    </row>
    <row r="74">
      <c r="A74" t="n">
        <v>20260118</v>
      </c>
      <c r="B74" t="inlineStr">
        <is>
          <t>2026-04-24</t>
        </is>
      </c>
      <c r="C74" t="inlineStr">
        <is>
          <t>SSG</t>
        </is>
      </c>
      <c r="D74" t="inlineStr">
        <is>
          <t>KT</t>
        </is>
      </c>
      <c r="E74" t="n">
        <v>9002</v>
      </c>
      <c r="F74" t="n">
        <v>12001</v>
      </c>
      <c r="G74" t="n">
        <v>19.15</v>
      </c>
      <c r="H74" t="n">
        <v>0.1915</v>
      </c>
      <c r="I74" t="inlineStr">
        <is>
          <t>core_full</t>
        </is>
      </c>
      <c r="J74">
        <f>MAX(H74,1-H74)</f>
        <v/>
      </c>
      <c r="K74">
        <f>_xlfn.IFS(
J74&lt;=0.55,"50~55",
J74&lt;=0.6,"55~60",
J74&lt;=0.65,"60~65",
J74&lt;=0.7,"65~70",
TRUE,"70~100"
)</f>
        <v/>
      </c>
      <c r="L74">
        <f>IF(H74&gt;=0.5,"HOME","AWAY")</f>
        <v/>
      </c>
      <c r="M74">
        <f>IF(AND(N74&lt;&gt;"", OR(N74=0, N74=1)), (J74-N74)^2, "")</f>
        <v/>
      </c>
      <c r="N74" t="n">
        <v>1</v>
      </c>
      <c r="O74">
        <f>IF(AND(N74&lt;&gt;"", OR(N74=0, N74=1)), IF(ROUND(H74,0)=N74, 1, 0), "")</f>
        <v/>
      </c>
    </row>
    <row r="75">
      <c r="A75" t="n">
        <v>20260119</v>
      </c>
      <c r="B75" t="inlineStr">
        <is>
          <t>2026-04-24</t>
        </is>
      </c>
      <c r="C75" t="inlineStr">
        <is>
          <t>한화</t>
        </is>
      </c>
      <c r="D75" t="inlineStr">
        <is>
          <t>NC</t>
        </is>
      </c>
      <c r="E75" t="n">
        <v>7002</v>
      </c>
      <c r="F75" t="n">
        <v>11001</v>
      </c>
      <c r="G75" t="n">
        <v>60.9</v>
      </c>
      <c r="H75" t="n">
        <v>0.609</v>
      </c>
      <c r="I75" t="inlineStr">
        <is>
          <t>core_full</t>
        </is>
      </c>
      <c r="J75">
        <f>MAX(H75,1-H75)</f>
        <v/>
      </c>
      <c r="K75">
        <f>_xlfn.IFS(
J75&lt;=0.55,"50~55",
J75&lt;=0.6,"55~60",
J75&lt;=0.65,"60~65",
J75&lt;=0.7,"65~70",
TRUE,"70~100"
)</f>
        <v/>
      </c>
      <c r="L75">
        <f>IF(H75&gt;=0.5,"HOME","AWAY")</f>
        <v/>
      </c>
      <c r="M75">
        <f>IF(AND(N75&lt;&gt;"", OR(N75=0, N75=1)), (J75-N75)^2, "")</f>
        <v/>
      </c>
      <c r="N75" t="n">
        <v>0</v>
      </c>
      <c r="O75">
        <f>IF(AND(N75&lt;&gt;"", OR(N75=0, N75=1)), IF(ROUND(H75,0)=N75, 1, 0), "")</f>
        <v/>
      </c>
    </row>
    <row r="76">
      <c r="A76" t="n">
        <v>20260120</v>
      </c>
      <c r="B76" t="inlineStr">
        <is>
          <t>2026-04-24</t>
        </is>
      </c>
      <c r="C76" t="inlineStr">
        <is>
          <t>KIA</t>
        </is>
      </c>
      <c r="D76" t="inlineStr">
        <is>
          <t>롯데</t>
        </is>
      </c>
      <c r="E76" t="n">
        <v>2002</v>
      </c>
      <c r="F76" t="n">
        <v>3001</v>
      </c>
      <c r="G76" t="n">
        <v>66.59</v>
      </c>
      <c r="H76" t="n">
        <v>0.6659</v>
      </c>
      <c r="I76" t="inlineStr">
        <is>
          <t>core_full</t>
        </is>
      </c>
      <c r="J76">
        <f>MAX(H76,1-H76)</f>
        <v/>
      </c>
      <c r="K76">
        <f>_xlfn.IFS(
J76&lt;=0.55,"50~55",
J76&lt;=0.6,"55~60",
J76&lt;=0.65,"60~65",
J76&lt;=0.7,"65~70",
TRUE,"70~100"
)</f>
        <v/>
      </c>
      <c r="L76">
        <f>IF(H76&gt;=0.5,"HOME","AWAY")</f>
        <v/>
      </c>
      <c r="M76">
        <f>IF(AND(N76&lt;&gt;"", OR(N76=0, N76=1)), (J76-N76)^2, "")</f>
        <v/>
      </c>
      <c r="N76" t="n">
        <v>1</v>
      </c>
      <c r="O76">
        <f>IF(AND(N76&lt;&gt;"", OR(N76=0, N76=1)), IF(ROUND(H76,0)=N76, 1, 0), "")</f>
        <v/>
      </c>
    </row>
    <row r="77">
      <c r="A77" t="n">
        <v>20260121</v>
      </c>
      <c r="B77" t="inlineStr">
        <is>
          <t>2026-04-25</t>
        </is>
      </c>
      <c r="C77" t="inlineStr">
        <is>
          <t>두산</t>
        </is>
      </c>
      <c r="D77" t="inlineStr">
        <is>
          <t>LG</t>
        </is>
      </c>
      <c r="E77" t="n">
        <v>6002</v>
      </c>
      <c r="F77" t="n">
        <v>5002</v>
      </c>
      <c r="G77" t="n">
        <v>56.75</v>
      </c>
      <c r="H77" t="n">
        <v>0.5675</v>
      </c>
      <c r="I77" t="inlineStr">
        <is>
          <t>core_sp</t>
        </is>
      </c>
      <c r="J77">
        <f>MAX(H77,1-H77)</f>
        <v/>
      </c>
      <c r="K77">
        <f>_xlfn.IFS(
J77&lt;=0.55,"50~55",
J77&lt;=0.6,"55~60",
J77&lt;=0.65,"60~65",
J77&lt;=0.7,"65~70",
TRUE,"70~100"
)</f>
        <v/>
      </c>
      <c r="L77">
        <f>IF(H77&gt;=0.5,"HOME","AWAY")</f>
        <v/>
      </c>
      <c r="M77">
        <f>IF(AND(N77&lt;&gt;"", OR(N77=0, N77=1)), (J77-N77)^2, "")</f>
        <v/>
      </c>
      <c r="N77" t="n">
        <v>0</v>
      </c>
      <c r="O77">
        <f>IF(AND(N77&lt;&gt;"", OR(N77=0, N77=1)), IF(ROUND(H77,0)=N77, 1, 0), "")</f>
        <v/>
      </c>
    </row>
    <row r="78">
      <c r="A78" t="n">
        <v>20260122</v>
      </c>
      <c r="B78" t="inlineStr">
        <is>
          <t>2026-04-25</t>
        </is>
      </c>
      <c r="C78" t="inlineStr">
        <is>
          <t>키움</t>
        </is>
      </c>
      <c r="D78" t="inlineStr">
        <is>
          <t>삼성</t>
        </is>
      </c>
      <c r="E78" t="n">
        <v>10001</v>
      </c>
      <c r="F78" t="n">
        <v>1001</v>
      </c>
      <c r="G78" t="n">
        <v>46.12</v>
      </c>
      <c r="H78" t="n">
        <v>0.4612</v>
      </c>
      <c r="I78" t="inlineStr">
        <is>
          <t>core_sp</t>
        </is>
      </c>
      <c r="J78">
        <f>MAX(H78,1-H78)</f>
        <v/>
      </c>
      <c r="K78">
        <f>_xlfn.IFS(
J78&lt;=0.55,"50~55",
J78&lt;=0.6,"55~60",
J78&lt;=0.65,"60~65",
J78&lt;=0.7,"65~70",
TRUE,"70~100"
)</f>
        <v/>
      </c>
      <c r="L78">
        <f>IF(H78&gt;=0.5,"HOME","AWAY")</f>
        <v/>
      </c>
      <c r="M78">
        <f>IF(AND(N78&lt;&gt;"", OR(N78=0, N78=1)), (J78-N78)^2, "")</f>
        <v/>
      </c>
      <c r="N78" t="n">
        <v>1</v>
      </c>
      <c r="O78">
        <f>IF(AND(N78&lt;&gt;"", OR(N78=0, N78=1)), IF(ROUND(H78,0)=N78, 1, 0), "")</f>
        <v/>
      </c>
    </row>
    <row r="79">
      <c r="A79" t="n">
        <v>20260123</v>
      </c>
      <c r="B79" t="inlineStr">
        <is>
          <t>2026-04-25</t>
        </is>
      </c>
      <c r="C79" t="inlineStr">
        <is>
          <t>SSG</t>
        </is>
      </c>
      <c r="D79" t="inlineStr">
        <is>
          <t>KT</t>
        </is>
      </c>
      <c r="E79" t="n">
        <v>9002</v>
      </c>
      <c r="F79" t="n">
        <v>12001</v>
      </c>
      <c r="G79" t="n">
        <v>24.68</v>
      </c>
      <c r="H79" t="n">
        <v>0.2468</v>
      </c>
      <c r="I79" t="inlineStr">
        <is>
          <t>core_sp</t>
        </is>
      </c>
      <c r="J79">
        <f>MAX(H79,1-H79)</f>
        <v/>
      </c>
      <c r="K79">
        <f>_xlfn.IFS(
J79&lt;=0.55,"50~55",
J79&lt;=0.6,"55~60",
J79&lt;=0.65,"60~65",
J79&lt;=0.7,"65~70",
TRUE,"70~100"
)</f>
        <v/>
      </c>
      <c r="L79">
        <f>IF(H79&gt;=0.5,"HOME","AWAY")</f>
        <v/>
      </c>
      <c r="M79">
        <f>IF(AND(N79&lt;&gt;"", OR(N79=0, N79=1)), (J79-N79)^2, "")</f>
        <v/>
      </c>
      <c r="N79" t="n">
        <v>1</v>
      </c>
      <c r="O79">
        <f>IF(AND(N79&lt;&gt;"", OR(N79=0, N79=1)), IF(ROUND(H79,0)=N79, 1, 0), "")</f>
        <v/>
      </c>
    </row>
    <row r="80">
      <c r="A80" t="n">
        <v>20260124</v>
      </c>
      <c r="B80" t="inlineStr">
        <is>
          <t>2026-04-25</t>
        </is>
      </c>
      <c r="C80" t="inlineStr">
        <is>
          <t>한화</t>
        </is>
      </c>
      <c r="D80" t="inlineStr">
        <is>
          <t>NC</t>
        </is>
      </c>
      <c r="E80" t="n">
        <v>7002</v>
      </c>
      <c r="F80" t="n">
        <v>11001</v>
      </c>
      <c r="G80" t="n">
        <v>35.75</v>
      </c>
      <c r="H80" t="n">
        <v>0.3575</v>
      </c>
      <c r="I80" t="inlineStr">
        <is>
          <t>core_sp</t>
        </is>
      </c>
      <c r="J80">
        <f>MAX(H80,1-H80)</f>
        <v/>
      </c>
      <c r="K80">
        <f>_xlfn.IFS(
J80&lt;=0.55,"50~55",
J80&lt;=0.6,"55~60",
J80&lt;=0.65,"60~65",
J80&lt;=0.7,"65~70",
TRUE,"70~100"
)</f>
        <v/>
      </c>
      <c r="L80">
        <f>IF(H80&gt;=0.5,"HOME","AWAY")</f>
        <v/>
      </c>
      <c r="M80">
        <f>IF(AND(N80&lt;&gt;"", OR(N80=0, N80=1)), (J80-N80)^2, "")</f>
        <v/>
      </c>
      <c r="N80" t="n">
        <v>1</v>
      </c>
      <c r="O80">
        <f>IF(AND(N80&lt;&gt;"", OR(N80=0, N80=1)), IF(ROUND(H80,0)=N80, 1, 0), "")</f>
        <v/>
      </c>
    </row>
    <row r="81">
      <c r="A81" t="n">
        <v>20260125</v>
      </c>
      <c r="B81" t="inlineStr">
        <is>
          <t>2026-04-25</t>
        </is>
      </c>
      <c r="C81" t="inlineStr">
        <is>
          <t>KIA</t>
        </is>
      </c>
      <c r="D81" t="inlineStr">
        <is>
          <t>롯데</t>
        </is>
      </c>
      <c r="E81" t="n">
        <v>2002</v>
      </c>
      <c r="F81" t="n">
        <v>3001</v>
      </c>
      <c r="G81" t="n">
        <v>45.31</v>
      </c>
      <c r="H81" t="n">
        <v>0.4531</v>
      </c>
      <c r="I81" t="inlineStr">
        <is>
          <t>core_sp</t>
        </is>
      </c>
      <c r="J81">
        <f>MAX(H81,1-H81)</f>
        <v/>
      </c>
      <c r="K81">
        <f>_xlfn.IFS(
J81&lt;=0.55,"50~55",
J81&lt;=0.6,"55~60",
J81&lt;=0.65,"60~65",
J81&lt;=0.7,"65~70",
TRUE,"70~100"
)</f>
        <v/>
      </c>
      <c r="L81">
        <f>IF(H81&gt;=0.5,"HOME","AWAY")</f>
        <v/>
      </c>
      <c r="M81">
        <f>IF(AND(N81&lt;&gt;"", OR(N81=0, N81=1)), (J81-N81)^2, "")</f>
        <v/>
      </c>
      <c r="N81" t="n">
        <v>1</v>
      </c>
      <c r="O81">
        <f>IF(AND(N81&lt;&gt;"", OR(N81=0, N81=1)), IF(ROUND(H81,0)=N81, 1, 0), "")</f>
        <v/>
      </c>
    </row>
    <row r="82">
      <c r="A82" t="n">
        <v>20260126</v>
      </c>
      <c r="B82" t="inlineStr">
        <is>
          <t>2026-04-26</t>
        </is>
      </c>
      <c r="C82" t="inlineStr">
        <is>
          <t>두산</t>
        </is>
      </c>
      <c r="D82" t="inlineStr">
        <is>
          <t>LG</t>
        </is>
      </c>
      <c r="E82" t="n">
        <v>6002</v>
      </c>
      <c r="F82" t="n">
        <v>5002</v>
      </c>
      <c r="G82" t="n">
        <v>61.63</v>
      </c>
      <c r="H82" t="n">
        <v>0.6163</v>
      </c>
      <c r="I82" t="inlineStr">
        <is>
          <t>core_full</t>
        </is>
      </c>
      <c r="J82">
        <f>MAX(H82,1-H82)</f>
        <v/>
      </c>
      <c r="K82">
        <f>_xlfn.IFS(
J82&lt;=0.55,"50~55",
J82&lt;=0.6,"55~60",
J82&lt;=0.65,"60~65",
J82&lt;=0.7,"65~70",
TRUE,"70~100"
)</f>
        <v/>
      </c>
      <c r="L82">
        <f>IF(H82&gt;=0.5,"HOME","AWAY")</f>
        <v/>
      </c>
      <c r="M82">
        <f>IF(AND(N82&lt;&gt;"", OR(N82=0, N82=1)), (J82-N82)^2, "")</f>
        <v/>
      </c>
      <c r="N82" t="n">
        <v>1</v>
      </c>
      <c r="O82">
        <f>IF(AND(N82&lt;&gt;"", OR(N82=0, N82=1)), IF(ROUND(H82,0)=N82, 1, 0), "")</f>
        <v/>
      </c>
    </row>
    <row r="83">
      <c r="A83" t="n">
        <v>20260127</v>
      </c>
      <c r="B83" t="inlineStr">
        <is>
          <t>2026-04-26</t>
        </is>
      </c>
      <c r="C83" t="inlineStr">
        <is>
          <t>키움</t>
        </is>
      </c>
      <c r="D83" t="inlineStr">
        <is>
          <t>삼성</t>
        </is>
      </c>
      <c r="E83" t="n">
        <v>10001</v>
      </c>
      <c r="F83" t="n">
        <v>1001</v>
      </c>
      <c r="G83" t="n">
        <v>14.46</v>
      </c>
      <c r="H83" t="n">
        <v>0.1446</v>
      </c>
      <c r="I83" t="inlineStr">
        <is>
          <t>core_full</t>
        </is>
      </c>
      <c r="J83">
        <f>MAX(H83,1-H83)</f>
        <v/>
      </c>
      <c r="K83">
        <f>_xlfn.IFS(
J83&lt;=0.55,"50~55",
J83&lt;=0.6,"55~60",
J83&lt;=0.65,"60~65",
J83&lt;=0.7,"65~70",
TRUE,"70~100"
)</f>
        <v/>
      </c>
      <c r="L83">
        <f>IF(H83&gt;=0.5,"HOME","AWAY")</f>
        <v/>
      </c>
      <c r="M83">
        <f>IF(AND(N83&lt;&gt;"", OR(N83=0, N83=1)), (J83-N83)^2, "")</f>
        <v/>
      </c>
      <c r="N83" t="n">
        <v>1</v>
      </c>
      <c r="O83">
        <f>IF(AND(N83&lt;&gt;"", OR(N83=0, N83=1)), IF(ROUND(H83,0)=N83, 1, 0), "")</f>
        <v/>
      </c>
    </row>
    <row r="84">
      <c r="A84" t="n">
        <v>20260128</v>
      </c>
      <c r="B84" t="inlineStr">
        <is>
          <t>2026-04-26</t>
        </is>
      </c>
      <c r="C84" t="inlineStr">
        <is>
          <t>SSG</t>
        </is>
      </c>
      <c r="D84" t="inlineStr">
        <is>
          <t>KT</t>
        </is>
      </c>
      <c r="E84" t="n">
        <v>9002</v>
      </c>
      <c r="F84" t="n">
        <v>12001</v>
      </c>
      <c r="G84" t="n">
        <v>35.13</v>
      </c>
      <c r="H84" t="n">
        <v>0.3513</v>
      </c>
      <c r="I84" t="inlineStr">
        <is>
          <t>core_full</t>
        </is>
      </c>
      <c r="J84">
        <f>MAX(H84,1-H84)</f>
        <v/>
      </c>
      <c r="K84">
        <f>_xlfn.IFS(
J84&lt;=0.55,"50~55",
J84&lt;=0.6,"55~60",
J84&lt;=0.65,"60~65",
J84&lt;=0.7,"65~70",
TRUE,"70~100"
)</f>
        <v/>
      </c>
      <c r="L84">
        <f>IF(H84&gt;=0.5,"HOME","AWAY")</f>
        <v/>
      </c>
      <c r="M84">
        <f>IF(AND(N84&lt;&gt;"", OR(N84=0, N84=1)), (J84-N84)^2, "")</f>
        <v/>
      </c>
      <c r="N84" t="n">
        <v>0</v>
      </c>
      <c r="O84">
        <f>IF(AND(N84&lt;&gt;"", OR(N84=0, N84=1)), IF(ROUND(H84,0)=N84, 1, 0), "")</f>
        <v/>
      </c>
    </row>
    <row r="85">
      <c r="A85" t="n">
        <v>20260129</v>
      </c>
      <c r="B85" t="inlineStr">
        <is>
          <t>2026-04-26</t>
        </is>
      </c>
      <c r="C85" t="inlineStr">
        <is>
          <t>한화</t>
        </is>
      </c>
      <c r="D85" t="inlineStr">
        <is>
          <t>NC</t>
        </is>
      </c>
      <c r="E85" t="n">
        <v>7002</v>
      </c>
      <c r="F85" t="n">
        <v>11001</v>
      </c>
      <c r="G85" t="n">
        <v>36.66</v>
      </c>
      <c r="H85" t="n">
        <v>0.3666</v>
      </c>
      <c r="I85" t="inlineStr">
        <is>
          <t>core_full</t>
        </is>
      </c>
      <c r="J85">
        <f>MAX(H85,1-H85)</f>
        <v/>
      </c>
      <c r="K85">
        <f>_xlfn.IFS(
J85&lt;=0.55,"50~55",
J85&lt;=0.6,"55~60",
J85&lt;=0.65,"60~65",
J85&lt;=0.7,"65~70",
TRUE,"70~100"
)</f>
        <v/>
      </c>
      <c r="L85">
        <f>IF(H85&gt;=0.5,"HOME","AWAY")</f>
        <v/>
      </c>
      <c r="M85">
        <f>IF(AND(N85&lt;&gt;"", OR(N85=0, N85=1)), (J85-N85)^2, "")</f>
        <v/>
      </c>
      <c r="N85" t="n">
        <v>0</v>
      </c>
      <c r="O85">
        <f>IF(AND(N85&lt;&gt;"", OR(N85=0, N85=1)), IF(ROUND(H85,0)=N85, 1, 0), "")</f>
        <v/>
      </c>
    </row>
    <row r="86">
      <c r="A86" t="n">
        <v>20260130</v>
      </c>
      <c r="B86" t="inlineStr">
        <is>
          <t>2026-04-26</t>
        </is>
      </c>
      <c r="C86" t="inlineStr">
        <is>
          <t>KIA</t>
        </is>
      </c>
      <c r="D86" t="inlineStr">
        <is>
          <t>롯데</t>
        </is>
      </c>
      <c r="E86" t="n">
        <v>2002</v>
      </c>
      <c r="F86" t="n">
        <v>3001</v>
      </c>
      <c r="G86" t="n">
        <v>28.49</v>
      </c>
      <c r="H86" t="n">
        <v>0.2849</v>
      </c>
      <c r="I86" t="inlineStr">
        <is>
          <t>core_full</t>
        </is>
      </c>
      <c r="J86">
        <f>MAX(H86,1-H86)</f>
        <v/>
      </c>
      <c r="K86">
        <f>_xlfn.IFS(
J86&lt;=0.55,"50~55",
J86&lt;=0.6,"55~60",
J86&lt;=0.65,"60~65",
J86&lt;=0.7,"65~70",
TRUE,"70~100"
)</f>
        <v/>
      </c>
      <c r="L86">
        <f>IF(H86&gt;=0.5,"HOME","AWAY")</f>
        <v/>
      </c>
      <c r="M86">
        <f>IF(AND(N86&lt;&gt;"", OR(N86=0, N86=1)), (J86-N86)^2, "")</f>
        <v/>
      </c>
      <c r="N86" t="inlineStr">
        <is>
          <t>draw</t>
        </is>
      </c>
      <c r="O86">
        <f>IF(AND(N86&lt;&gt;"", OR(N86=0, N86=1)), IF(ROUND(H86,0)=N86, 1, 0), "")</f>
        <v/>
      </c>
    </row>
    <row r="87">
      <c r="A87" t="n">
        <v>20260131</v>
      </c>
      <c r="B87" t="inlineStr">
        <is>
          <t>2026-04-28</t>
        </is>
      </c>
      <c r="C87" t="inlineStr">
        <is>
          <t>두산</t>
        </is>
      </c>
      <c r="D87" t="inlineStr">
        <is>
          <t>삼성</t>
        </is>
      </c>
      <c r="E87" t="n">
        <v>6002</v>
      </c>
      <c r="F87" t="n">
        <v>1001</v>
      </c>
      <c r="G87" t="n">
        <v>48.05</v>
      </c>
      <c r="H87" t="n">
        <v>0.4805371963158181</v>
      </c>
      <c r="I87" t="inlineStr">
        <is>
          <t>core_full</t>
        </is>
      </c>
      <c r="J87">
        <f>MAX(H87,1-H87)</f>
        <v/>
      </c>
      <c r="K87">
        <f>_xlfn.IFS(
J87&lt;=0.55,"50~55",
J87&lt;=0.6,"55~60",
J87&lt;=0.65,"60~65",
J87&lt;=0.7,"65~70",
TRUE,"70~100"
)</f>
        <v/>
      </c>
      <c r="L87">
        <f>IF(H87&gt;=0.5,"HOME","AWAY")</f>
        <v/>
      </c>
      <c r="M87">
        <f>IF(AND(N87&lt;&gt;"", OR(N87=0, N87=1)), (J87-N87)^2, "")</f>
        <v/>
      </c>
      <c r="N87" t="n">
        <v>0</v>
      </c>
      <c r="O87">
        <f>IF(AND(N87&lt;&gt;"", OR(N87=0, N87=1)), IF(ROUND(H87,0)=N87, 1, 0), "")</f>
        <v/>
      </c>
    </row>
    <row r="88">
      <c r="A88" t="n">
        <v>20260132</v>
      </c>
      <c r="B88" t="inlineStr">
        <is>
          <t>2026-04-28</t>
        </is>
      </c>
      <c r="C88" t="inlineStr">
        <is>
          <t>KT</t>
        </is>
      </c>
      <c r="D88" t="inlineStr">
        <is>
          <t>LG</t>
        </is>
      </c>
      <c r="E88" t="n">
        <v>12001</v>
      </c>
      <c r="F88" t="n">
        <v>5002</v>
      </c>
      <c r="G88" t="n">
        <v>31.9</v>
      </c>
      <c r="H88" t="n">
        <v>0.3189570478672066</v>
      </c>
      <c r="I88" t="inlineStr">
        <is>
          <t>core_full</t>
        </is>
      </c>
      <c r="J88">
        <f>MAX(H88,1-H88)</f>
        <v/>
      </c>
      <c r="K88">
        <f>_xlfn.IFS(
J88&lt;=0.55,"50~55",
J88&lt;=0.6,"55~60",
J88&lt;=0.65,"60~65",
J88&lt;=0.7,"65~70",
TRUE,"70~100"
)</f>
        <v/>
      </c>
      <c r="L88">
        <f>IF(H88&gt;=0.5,"HOME","AWAY")</f>
        <v/>
      </c>
      <c r="M88">
        <f>IF(AND(N88&lt;&gt;"", OR(N88=0, N88=1)), (J88-N88)^2, "")</f>
        <v/>
      </c>
      <c r="N88" t="n">
        <v>1</v>
      </c>
      <c r="O88">
        <f>IF(AND(N88&lt;&gt;"", OR(N88=0, N88=1)), IF(ROUND(H88,0)=N88, 1, 0), "")</f>
        <v/>
      </c>
    </row>
    <row r="89">
      <c r="A89" t="n">
        <v>20260133</v>
      </c>
      <c r="B89" t="inlineStr">
        <is>
          <t>2026-04-28</t>
        </is>
      </c>
      <c r="C89" t="inlineStr">
        <is>
          <t>한화</t>
        </is>
      </c>
      <c r="D89" t="inlineStr">
        <is>
          <t>SSG</t>
        </is>
      </c>
      <c r="E89" t="n">
        <v>7002</v>
      </c>
      <c r="F89" t="n">
        <v>9002</v>
      </c>
      <c r="G89" t="n">
        <v>51.69</v>
      </c>
      <c r="H89" t="n">
        <v>0.5168613753265812</v>
      </c>
      <c r="I89" t="inlineStr">
        <is>
          <t>core_full</t>
        </is>
      </c>
      <c r="J89">
        <f>MAX(H89,1-H89)</f>
        <v/>
      </c>
      <c r="K89">
        <f>_xlfn.IFS(
J89&lt;=0.55,"50~55",
J89&lt;=0.6,"55~60",
J89&lt;=0.65,"60~65",
J89&lt;=0.7,"65~70",
TRUE,"70~100"
)</f>
        <v/>
      </c>
      <c r="L89">
        <f>IF(H89&gt;=0.5,"HOME","AWAY")</f>
        <v/>
      </c>
      <c r="M89">
        <f>IF(AND(N89&lt;&gt;"", OR(N89=0, N89=1)), (J89-N89)^2, "")</f>
        <v/>
      </c>
      <c r="N89" t="n">
        <v>1</v>
      </c>
      <c r="O89">
        <f>IF(AND(N89&lt;&gt;"", OR(N89=0, N89=1)), IF(ROUND(H89,0)=N89, 1, 0), "")</f>
        <v/>
      </c>
    </row>
    <row r="90">
      <c r="A90" t="n">
        <v>20260134</v>
      </c>
      <c r="B90" t="inlineStr">
        <is>
          <t>2026-04-28</t>
        </is>
      </c>
      <c r="C90" t="inlineStr">
        <is>
          <t>롯데</t>
        </is>
      </c>
      <c r="D90" t="inlineStr">
        <is>
          <t>키움</t>
        </is>
      </c>
      <c r="E90" t="n">
        <v>3001</v>
      </c>
      <c r="F90" t="n">
        <v>10001</v>
      </c>
      <c r="G90" t="n">
        <v>41.82</v>
      </c>
      <c r="H90" t="n">
        <v>0.4182328485764429</v>
      </c>
      <c r="I90" t="inlineStr">
        <is>
          <t>core_full</t>
        </is>
      </c>
      <c r="J90">
        <f>MAX(H90,1-H90)</f>
        <v/>
      </c>
      <c r="K90">
        <f>_xlfn.IFS(
J90&lt;=0.55,"50~55",
J90&lt;=0.6,"55~60",
J90&lt;=0.65,"60~65",
J90&lt;=0.7,"65~70",
TRUE,"70~100"
)</f>
        <v/>
      </c>
      <c r="L90">
        <f>IF(H90&gt;=0.5,"HOME","AWAY")</f>
        <v/>
      </c>
      <c r="M90">
        <f>IF(AND(N90&lt;&gt;"", OR(N90=0, N90=1)), (J90-N90)^2, "")</f>
        <v/>
      </c>
      <c r="N90" t="n">
        <v>1</v>
      </c>
      <c r="O90">
        <f>IF(AND(N90&lt;&gt;"", OR(N90=0, N90=1)), IF(ROUND(H90,0)=N90, 1, 0), "")</f>
        <v/>
      </c>
    </row>
    <row r="91">
      <c r="A91" t="n">
        <v>20260135</v>
      </c>
      <c r="B91" t="inlineStr">
        <is>
          <t>2026-04-28</t>
        </is>
      </c>
      <c r="C91" t="inlineStr">
        <is>
          <t>NC</t>
        </is>
      </c>
      <c r="D91" t="inlineStr">
        <is>
          <t>KIA</t>
        </is>
      </c>
      <c r="E91" t="n">
        <v>11001</v>
      </c>
      <c r="F91" t="n">
        <v>2002</v>
      </c>
      <c r="G91" t="n">
        <v>33.33</v>
      </c>
      <c r="H91" t="n">
        <v>0.3332772775172348</v>
      </c>
      <c r="I91" t="inlineStr">
        <is>
          <t>core_full</t>
        </is>
      </c>
      <c r="J91">
        <f>MAX(H91,1-H91)</f>
        <v/>
      </c>
      <c r="K91">
        <f>_xlfn.IFS(
J91&lt;=0.55,"50~55",
J91&lt;=0.6,"55~60",
J91&lt;=0.65,"60~65",
J91&lt;=0.7,"65~70",
TRUE,"70~100"
)</f>
        <v/>
      </c>
      <c r="L91">
        <f>IF(H91&gt;=0.5,"HOME","AWAY")</f>
        <v/>
      </c>
      <c r="M91">
        <f>IF(AND(N91&lt;&gt;"", OR(N91=0, N91=1)), (J91-N91)^2, "")</f>
        <v/>
      </c>
      <c r="N91" t="n">
        <v>1</v>
      </c>
      <c r="O91">
        <f>IF(AND(N91&lt;&gt;"", OR(N91=0, N91=1)), IF(ROUND(H91,0)=N91, 1, 0), "")</f>
        <v/>
      </c>
    </row>
    <row r="92">
      <c r="A92" t="n">
        <v>20260136</v>
      </c>
      <c r="B92" t="inlineStr">
        <is>
          <t>2026-04-29</t>
        </is>
      </c>
      <c r="C92" t="inlineStr">
        <is>
          <t>두산</t>
        </is>
      </c>
      <c r="D92" t="inlineStr">
        <is>
          <t>삼성</t>
        </is>
      </c>
      <c r="E92" t="n">
        <v>6002</v>
      </c>
      <c r="F92" t="n">
        <v>1001</v>
      </c>
      <c r="G92" t="n">
        <v>55.18</v>
      </c>
      <c r="H92" t="n">
        <v>0.5517783419021589</v>
      </c>
      <c r="I92" t="inlineStr">
        <is>
          <t>core_sp</t>
        </is>
      </c>
      <c r="J92">
        <f>MAX(H92,1-H92)</f>
        <v/>
      </c>
      <c r="K92">
        <f>_xlfn.IFS(
J92&lt;=0.55,"50~55",
J92&lt;=0.6,"55~60",
J92&lt;=0.65,"60~65",
J92&lt;=0.7,"65~70",
TRUE,"70~100"
)</f>
        <v/>
      </c>
      <c r="L92">
        <f>IF(H92&gt;=0.5,"HOME","AWAY")</f>
        <v/>
      </c>
      <c r="M92">
        <f>IF(AND(N92&lt;&gt;"", OR(N92=0, N92=1)), (J92-N92)^2, "")</f>
        <v/>
      </c>
      <c r="N92" t="n">
        <v>1</v>
      </c>
      <c r="O92">
        <f>IF(AND(N92&lt;&gt;"", OR(N92=0, N92=1)), IF(ROUND(H92,0)=N92, 1, 0), "")</f>
        <v/>
      </c>
    </row>
    <row r="93">
      <c r="A93" t="n">
        <v>20260137</v>
      </c>
      <c r="B93" t="inlineStr">
        <is>
          <t>2026-04-29</t>
        </is>
      </c>
      <c r="C93" t="inlineStr">
        <is>
          <t>KT</t>
        </is>
      </c>
      <c r="D93" t="inlineStr">
        <is>
          <t>LG</t>
        </is>
      </c>
      <c r="E93" t="n">
        <v>12001</v>
      </c>
      <c r="F93" t="n">
        <v>5002</v>
      </c>
      <c r="G93" t="n">
        <v>63.64</v>
      </c>
      <c r="H93" t="n">
        <v>0.6364005896149976</v>
      </c>
      <c r="I93" t="inlineStr">
        <is>
          <t>core_sp</t>
        </is>
      </c>
      <c r="J93">
        <f>MAX(H93,1-H93)</f>
        <v/>
      </c>
      <c r="K93">
        <f>_xlfn.IFS(
J93&lt;=0.55,"50~55",
J93&lt;=0.6,"55~60",
J93&lt;=0.65,"60~65",
J93&lt;=0.7,"65~70",
TRUE,"70~100"
)</f>
        <v/>
      </c>
      <c r="L93">
        <f>IF(H93&gt;=0.5,"HOME","AWAY")</f>
        <v/>
      </c>
      <c r="M93">
        <f>IF(AND(N93&lt;&gt;"", OR(N93=0, N93=1)), (J93-N93)^2, "")</f>
        <v/>
      </c>
      <c r="N93" t="n">
        <v>1</v>
      </c>
      <c r="O93">
        <f>IF(AND(N93&lt;&gt;"", OR(N93=0, N93=1)), IF(ROUND(H93,0)=N93, 1, 0), "")</f>
        <v/>
      </c>
    </row>
    <row r="94">
      <c r="A94" t="n">
        <v>20260138</v>
      </c>
      <c r="B94" t="inlineStr">
        <is>
          <t>2026-04-29</t>
        </is>
      </c>
      <c r="C94" t="inlineStr">
        <is>
          <t>한화</t>
        </is>
      </c>
      <c r="D94" t="inlineStr">
        <is>
          <t>SSG</t>
        </is>
      </c>
      <c r="E94" t="n">
        <v>7002</v>
      </c>
      <c r="F94" t="n">
        <v>9002</v>
      </c>
      <c r="G94" t="n">
        <v>58.4</v>
      </c>
      <c r="H94" t="n">
        <v>0.5840059543753823</v>
      </c>
      <c r="I94" t="inlineStr">
        <is>
          <t>core_sp</t>
        </is>
      </c>
      <c r="J94">
        <f>MAX(H94,1-H94)</f>
        <v/>
      </c>
      <c r="K94">
        <f>_xlfn.IFS(
J94&lt;=0.55,"50~55",
J94&lt;=0.6,"55~60",
J94&lt;=0.65,"60~65",
J94&lt;=0.7,"65~70",
TRUE,"70~100"
)</f>
        <v/>
      </c>
      <c r="L94">
        <f>IF(H94&gt;=0.5,"HOME","AWAY")</f>
        <v/>
      </c>
      <c r="M94">
        <f>IF(AND(N94&lt;&gt;"", OR(N94=0, N94=1)), (J94-N94)^2, "")</f>
        <v/>
      </c>
      <c r="N94" t="n">
        <v>0</v>
      </c>
      <c r="O94">
        <f>IF(AND(N94&lt;&gt;"", OR(N94=0, N94=1)), IF(ROUND(H94,0)=N94, 1, 0), "")</f>
        <v/>
      </c>
    </row>
    <row r="95">
      <c r="A95" t="n">
        <v>20260139</v>
      </c>
      <c r="B95" t="inlineStr">
        <is>
          <t>2026-04-29</t>
        </is>
      </c>
      <c r="C95" t="inlineStr">
        <is>
          <t>롯데</t>
        </is>
      </c>
      <c r="D95" t="inlineStr">
        <is>
          <t>키움</t>
        </is>
      </c>
      <c r="E95" t="n">
        <v>3001</v>
      </c>
      <c r="F95" t="n">
        <v>10001</v>
      </c>
      <c r="G95" t="n">
        <v>44.99</v>
      </c>
      <c r="H95" t="n">
        <v>0.4498846605387565</v>
      </c>
      <c r="I95" t="inlineStr">
        <is>
          <t>core_sp</t>
        </is>
      </c>
      <c r="J95">
        <f>MAX(H95,1-H95)</f>
        <v/>
      </c>
      <c r="K95">
        <f>_xlfn.IFS(
J95&lt;=0.55,"50~55",
J95&lt;=0.6,"55~60",
J95&lt;=0.65,"60~65",
J95&lt;=0.7,"65~70",
TRUE,"70~100"
)</f>
        <v/>
      </c>
      <c r="L95">
        <f>IF(H95&gt;=0.5,"HOME","AWAY")</f>
        <v/>
      </c>
      <c r="M95">
        <f>IF(AND(N95&lt;&gt;"", OR(N95=0, N95=1)), (J95-N95)^2, "")</f>
        <v/>
      </c>
      <c r="N95" t="n">
        <v>0</v>
      </c>
      <c r="O95">
        <f>IF(AND(N95&lt;&gt;"", OR(N95=0, N95=1)), IF(ROUND(H95,0)=N95, 1, 0), "")</f>
        <v/>
      </c>
    </row>
    <row r="96">
      <c r="A96" t="n">
        <v>20260140</v>
      </c>
      <c r="B96" t="inlineStr">
        <is>
          <t>2026-04-29</t>
        </is>
      </c>
      <c r="C96" t="inlineStr">
        <is>
          <t>NC</t>
        </is>
      </c>
      <c r="D96" t="inlineStr">
        <is>
          <t>KIA</t>
        </is>
      </c>
      <c r="E96" t="n">
        <v>11001</v>
      </c>
      <c r="F96" t="n">
        <v>2002</v>
      </c>
      <c r="G96" t="n">
        <v>66.16</v>
      </c>
      <c r="H96" t="n">
        <v>0.6616164752638154</v>
      </c>
      <c r="I96" t="inlineStr">
        <is>
          <t>core_sp</t>
        </is>
      </c>
      <c r="J96">
        <f>MAX(H96,1-H96)</f>
        <v/>
      </c>
      <c r="K96">
        <f>_xlfn.IFS(
J96&lt;=0.55,"50~55",
J96&lt;=0.6,"55~60",
J96&lt;=0.65,"60~65",
J96&lt;=0.7,"65~70",
TRUE,"70~100"
)</f>
        <v/>
      </c>
      <c r="L96">
        <f>IF(H96&gt;=0.5,"HOME","AWAY")</f>
        <v/>
      </c>
      <c r="M96">
        <f>IF(AND(N96&lt;&gt;"", OR(N96=0, N96=1)), (J96-N96)^2, "")</f>
        <v/>
      </c>
      <c r="N96" t="n">
        <v>0</v>
      </c>
      <c r="O96">
        <f>IF(AND(N96&lt;&gt;"", OR(N96=0, N96=1)), IF(ROUND(H96,0)=N96, 1, 0), "")</f>
        <v/>
      </c>
    </row>
    <row r="97">
      <c r="A97" t="n">
        <v>20260141</v>
      </c>
      <c r="B97" t="inlineStr">
        <is>
          <t>2026-04-30</t>
        </is>
      </c>
      <c r="C97" t="inlineStr">
        <is>
          <t>두산</t>
        </is>
      </c>
      <c r="D97" t="inlineStr">
        <is>
          <t>삼성</t>
        </is>
      </c>
      <c r="E97" t="n">
        <v>6002</v>
      </c>
      <c r="F97" t="n">
        <v>1001</v>
      </c>
      <c r="G97" t="n">
        <v>55.79</v>
      </c>
      <c r="H97" t="n">
        <v>0.5578853576763507</v>
      </c>
      <c r="I97" t="inlineStr">
        <is>
          <t>core_sp</t>
        </is>
      </c>
      <c r="J97">
        <f>MAX(H97,1-H97)</f>
        <v/>
      </c>
      <c r="K97">
        <f>_xlfn.IFS(
J97&lt;=0.55,"50~55",
J97&lt;=0.6,"55~60",
J97&lt;=0.65,"60~65",
J97&lt;=0.7,"65~70",
TRUE,"70~100"
)</f>
        <v/>
      </c>
      <c r="L97">
        <f>IF(H97&gt;=0.5,"HOME","AWAY")</f>
        <v/>
      </c>
      <c r="M97">
        <f>IF(AND(N97&lt;&gt;"", OR(N97=0, N97=1)), (J97-N97)^2, "")</f>
        <v/>
      </c>
      <c r="N97" t="n">
        <v>1</v>
      </c>
      <c r="O97">
        <f>IF(AND(N97&lt;&gt;"", OR(N97=0, N97=1)), IF(ROUND(H97,0)=N97, 1, 0), "")</f>
        <v/>
      </c>
    </row>
    <row r="98">
      <c r="A98" t="n">
        <v>20260142</v>
      </c>
      <c r="B98" t="inlineStr">
        <is>
          <t>2026-04-30</t>
        </is>
      </c>
      <c r="C98" t="inlineStr">
        <is>
          <t>KT</t>
        </is>
      </c>
      <c r="D98" t="inlineStr">
        <is>
          <t>LG</t>
        </is>
      </c>
      <c r="E98" t="n">
        <v>12001</v>
      </c>
      <c r="F98" t="n">
        <v>5002</v>
      </c>
      <c r="G98" t="n">
        <v>71.19</v>
      </c>
      <c r="H98" t="n">
        <v>0.7119135430725531</v>
      </c>
      <c r="I98" t="inlineStr">
        <is>
          <t>core_sp</t>
        </is>
      </c>
      <c r="J98">
        <f>MAX(H98,1-H98)</f>
        <v/>
      </c>
      <c r="K98">
        <f>_xlfn.IFS(
J98&lt;=0.55,"50~55",
J98&lt;=0.6,"55~60",
J98&lt;=0.65,"60~65",
J98&lt;=0.7,"65~70",
TRUE,"70~100"
)</f>
        <v/>
      </c>
      <c r="L98">
        <f>IF(H98&gt;=0.5,"HOME","AWAY")</f>
        <v/>
      </c>
      <c r="M98">
        <f>IF(AND(N98&lt;&gt;"", OR(N98=0, N98=1)), (J98-N98)^2, "")</f>
        <v/>
      </c>
      <c r="N98" t="n">
        <v>0</v>
      </c>
      <c r="O98">
        <f>IF(AND(N98&lt;&gt;"", OR(N98=0, N98=1)), IF(ROUND(H98,0)=N98, 1, 0), "")</f>
        <v/>
      </c>
    </row>
    <row r="99">
      <c r="A99" t="n">
        <v>20260143</v>
      </c>
      <c r="B99" t="inlineStr">
        <is>
          <t>2026-04-30</t>
        </is>
      </c>
      <c r="C99" t="inlineStr">
        <is>
          <t>한화</t>
        </is>
      </c>
      <c r="D99" t="inlineStr">
        <is>
          <t>SSG</t>
        </is>
      </c>
      <c r="E99" t="n">
        <v>7002</v>
      </c>
      <c r="F99" t="n">
        <v>9002</v>
      </c>
      <c r="G99" t="n">
        <v>58.16</v>
      </c>
      <c r="H99" t="n">
        <v>0.5816069541356079</v>
      </c>
      <c r="I99" t="inlineStr">
        <is>
          <t>core_sp</t>
        </is>
      </c>
      <c r="J99">
        <f>MAX(H99,1-H99)</f>
        <v/>
      </c>
      <c r="K99">
        <f>_xlfn.IFS(
J99&lt;=0.55,"50~55",
J99&lt;=0.6,"55~60",
J99&lt;=0.65,"60~65",
J99&lt;=0.7,"65~70",
TRUE,"70~100"
)</f>
        <v/>
      </c>
      <c r="L99">
        <f>IF(H99&gt;=0.5,"HOME","AWAY")</f>
        <v/>
      </c>
      <c r="M99">
        <f>IF(AND(N99&lt;&gt;"", OR(N99=0, N99=1)), (J99-N99)^2, "")</f>
        <v/>
      </c>
      <c r="N99" t="n">
        <v>0</v>
      </c>
      <c r="O99">
        <f>IF(AND(N99&lt;&gt;"", OR(N99=0, N99=1)), IF(ROUND(H99,0)=N99, 1, 0), "")</f>
        <v/>
      </c>
    </row>
    <row r="100">
      <c r="A100" t="n">
        <v>20260144</v>
      </c>
      <c r="B100" t="inlineStr">
        <is>
          <t>2026-04-30</t>
        </is>
      </c>
      <c r="C100" t="inlineStr">
        <is>
          <t>롯데</t>
        </is>
      </c>
      <c r="D100" t="inlineStr">
        <is>
          <t>키움</t>
        </is>
      </c>
      <c r="E100" t="n">
        <v>3001</v>
      </c>
      <c r="F100" t="n">
        <v>10001</v>
      </c>
      <c r="G100" t="n">
        <v>52.46</v>
      </c>
      <c r="H100" t="n">
        <v>0.5246337125019768</v>
      </c>
      <c r="I100" t="inlineStr">
        <is>
          <t>core_sp</t>
        </is>
      </c>
      <c r="J100">
        <f>MAX(H100,1-H100)</f>
        <v/>
      </c>
      <c r="K100">
        <f>_xlfn.IFS(
J100&lt;=0.55,"50~55",
J100&lt;=0.6,"55~60",
J100&lt;=0.65,"60~65",
J100&lt;=0.7,"65~70",
TRUE,"70~100"
)</f>
        <v/>
      </c>
      <c r="L100">
        <f>IF(H100&gt;=0.5,"HOME","AWAY")</f>
        <v/>
      </c>
      <c r="M100">
        <f>IF(AND(N100&lt;&gt;"", OR(N100=0, N100=1)), (J100-N100)^2, "")</f>
        <v/>
      </c>
      <c r="N100" t="n">
        <v>1</v>
      </c>
      <c r="O100">
        <f>IF(AND(N100&lt;&gt;"", OR(N100=0, N100=1)), IF(ROUND(H100,0)=N100, 1, 0), "")</f>
        <v/>
      </c>
    </row>
    <row r="101">
      <c r="A101" t="n">
        <v>20260145</v>
      </c>
      <c r="B101" t="inlineStr">
        <is>
          <t>2026-04-30</t>
        </is>
      </c>
      <c r="C101" t="inlineStr">
        <is>
          <t>NC</t>
        </is>
      </c>
      <c r="D101" t="inlineStr">
        <is>
          <t>KIA</t>
        </is>
      </c>
      <c r="E101" t="n">
        <v>11001</v>
      </c>
      <c r="F101" t="n">
        <v>2002</v>
      </c>
      <c r="G101" t="n">
        <v>32.03</v>
      </c>
      <c r="H101" t="n">
        <v>0.3202911251751967</v>
      </c>
      <c r="I101" t="inlineStr">
        <is>
          <t>core_sp</t>
        </is>
      </c>
      <c r="J101">
        <f>MAX(H101,1-H101)</f>
        <v/>
      </c>
      <c r="K101">
        <f>_xlfn.IFS(
J101&lt;=0.55,"50~55",
J101&lt;=0.6,"55~60",
J101&lt;=0.65,"60~65",
J101&lt;=0.7,"65~70",
TRUE,"70~100"
)</f>
        <v/>
      </c>
      <c r="L101">
        <f>IF(H101&gt;=0.5,"HOME","AWAY")</f>
        <v/>
      </c>
      <c r="M101">
        <f>IF(AND(N101&lt;&gt;"", OR(N101=0, N101=1)), (J101-N101)^2, "")</f>
        <v/>
      </c>
      <c r="N101" t="n">
        <v>1</v>
      </c>
      <c r="O101">
        <f>IF(AND(N101&lt;&gt;"", OR(N101=0, N101=1)), IF(ROUND(H101,0)=N101, 1, 0), "")</f>
        <v/>
      </c>
    </row>
    <row r="102">
      <c r="A102" t="n">
        <v>20260146</v>
      </c>
      <c r="B102" t="inlineStr">
        <is>
          <t>2026-05-01</t>
        </is>
      </c>
      <c r="C102" t="inlineStr">
        <is>
          <t>LG</t>
        </is>
      </c>
      <c r="D102" t="inlineStr">
        <is>
          <t>NC</t>
        </is>
      </c>
      <c r="E102" t="n">
        <v>5002</v>
      </c>
      <c r="F102" t="n">
        <v>11001</v>
      </c>
      <c r="G102" t="n">
        <v>50.46</v>
      </c>
      <c r="H102" t="n">
        <v>0.5046309271313746</v>
      </c>
      <c r="I102" t="inlineStr">
        <is>
          <t>core_sp</t>
        </is>
      </c>
      <c r="J102">
        <f>MAX(H102,1-H102)</f>
        <v/>
      </c>
      <c r="K102">
        <f>_xlfn.IFS(
J102&lt;=0.55,"50~55",
J102&lt;=0.6,"55~60",
J102&lt;=0.65,"60~65",
J102&lt;=0.7,"65~70",
TRUE,"70~100"
)</f>
        <v/>
      </c>
      <c r="L102">
        <f>IF(H102&gt;=0.5,"HOME","AWAY")</f>
        <v/>
      </c>
      <c r="M102">
        <f>IF(AND(N102&lt;&gt;"", OR(N102=0, N102=1)), (J102-N102)^2, "")</f>
        <v/>
      </c>
      <c r="N102" t="n">
        <v>1</v>
      </c>
      <c r="O102">
        <f>IF(AND(N102&lt;&gt;"", OR(N102=0, N102=1)), IF(ROUND(H102,0)=N102, 1, 0), "")</f>
        <v/>
      </c>
    </row>
    <row r="103">
      <c r="A103" t="n">
        <v>20260147</v>
      </c>
      <c r="B103" t="inlineStr">
        <is>
          <t>2026-05-01</t>
        </is>
      </c>
      <c r="C103" t="inlineStr">
        <is>
          <t>키움</t>
        </is>
      </c>
      <c r="D103" t="inlineStr">
        <is>
          <t>두산</t>
        </is>
      </c>
      <c r="E103" t="n">
        <v>10001</v>
      </c>
      <c r="F103" t="n">
        <v>6002</v>
      </c>
      <c r="G103" t="n">
        <v>41.32</v>
      </c>
      <c r="H103" t="n">
        <v>0.4131633825686172</v>
      </c>
      <c r="I103" t="inlineStr">
        <is>
          <t>core_sp</t>
        </is>
      </c>
      <c r="J103">
        <f>MAX(H103,1-H103)</f>
        <v/>
      </c>
      <c r="K103">
        <f>_xlfn.IFS(
J103&lt;=0.55,"50~55",
J103&lt;=0.6,"55~60",
J103&lt;=0.65,"60~65",
J103&lt;=0.7,"65~70",
TRUE,"70~100"
)</f>
        <v/>
      </c>
      <c r="L103">
        <f>IF(H103&gt;=0.5,"HOME","AWAY")</f>
        <v/>
      </c>
      <c r="M103">
        <f>IF(AND(N103&lt;&gt;"", OR(N103=0, N103=1)), (J103-N103)^2, "")</f>
        <v/>
      </c>
      <c r="N103" t="n">
        <v>0</v>
      </c>
      <c r="O103">
        <f>IF(AND(N103&lt;&gt;"", OR(N103=0, N103=1)), IF(ROUND(H103,0)=N103, 1, 0), "")</f>
        <v/>
      </c>
    </row>
    <row r="104">
      <c r="A104" t="n">
        <v>20260148</v>
      </c>
      <c r="B104" t="inlineStr">
        <is>
          <t>2026-05-01</t>
        </is>
      </c>
      <c r="C104" t="inlineStr">
        <is>
          <t>SSG</t>
        </is>
      </c>
      <c r="D104" t="inlineStr">
        <is>
          <t>롯데</t>
        </is>
      </c>
      <c r="E104" t="n">
        <v>9002</v>
      </c>
      <c r="F104" t="n">
        <v>3001</v>
      </c>
      <c r="G104" t="n">
        <v>38.95</v>
      </c>
      <c r="H104" t="n">
        <v>0.3895130414945705</v>
      </c>
      <c r="I104" t="inlineStr">
        <is>
          <t>core_sp</t>
        </is>
      </c>
      <c r="J104">
        <f>MAX(H104,1-H104)</f>
        <v/>
      </c>
      <c r="K104">
        <f>_xlfn.IFS(
J104&lt;=0.55,"50~55",
J104&lt;=0.6,"55~60",
J104&lt;=0.65,"60~65",
J104&lt;=0.7,"65~70",
TRUE,"70~100"
)</f>
        <v/>
      </c>
      <c r="L104">
        <f>IF(H104&gt;=0.5,"HOME","AWAY")</f>
        <v/>
      </c>
      <c r="M104">
        <f>IF(AND(N104&lt;&gt;"", OR(N104=0, N104=1)), (J104-N104)^2, "")</f>
        <v/>
      </c>
      <c r="N104" t="n">
        <v>0</v>
      </c>
      <c r="O104">
        <f>IF(AND(N104&lt;&gt;"", OR(N104=0, N104=1)), IF(ROUND(H104,0)=N104, 1, 0), "")</f>
        <v/>
      </c>
    </row>
    <row r="105">
      <c r="A105" t="n">
        <v>20260149</v>
      </c>
      <c r="B105" t="inlineStr">
        <is>
          <t>2026-05-01</t>
        </is>
      </c>
      <c r="C105" t="inlineStr">
        <is>
          <t>삼성</t>
        </is>
      </c>
      <c r="D105" t="inlineStr">
        <is>
          <t>한화</t>
        </is>
      </c>
      <c r="E105" t="n">
        <v>1001</v>
      </c>
      <c r="F105" t="n">
        <v>7002</v>
      </c>
      <c r="G105" t="n">
        <v>57.52</v>
      </c>
      <c r="H105" t="n">
        <v>0.5752147019564056</v>
      </c>
      <c r="I105" t="inlineStr">
        <is>
          <t>core_sp</t>
        </is>
      </c>
      <c r="J105">
        <f>MAX(H105,1-H105)</f>
        <v/>
      </c>
      <c r="K105">
        <f>_xlfn.IFS(
J105&lt;=0.55,"50~55",
J105&lt;=0.6,"55~60",
J105&lt;=0.65,"60~65",
J105&lt;=0.7,"65~70",
TRUE,"70~100"
)</f>
        <v/>
      </c>
      <c r="L105">
        <f>IF(H105&gt;=0.5,"HOME","AWAY")</f>
        <v/>
      </c>
      <c r="M105">
        <f>IF(AND(N105&lt;&gt;"", OR(N105=0, N105=1)), (J105-N105)^2, "")</f>
        <v/>
      </c>
      <c r="N105" t="n">
        <v>1</v>
      </c>
      <c r="O105">
        <f>IF(AND(N105&lt;&gt;"", OR(N105=0, N105=1)), IF(ROUND(H105,0)=N105, 1, 0), "")</f>
        <v/>
      </c>
    </row>
    <row r="106">
      <c r="A106" t="n">
        <v>20260150</v>
      </c>
      <c r="B106" t="inlineStr">
        <is>
          <t>2026-05-01</t>
        </is>
      </c>
      <c r="C106" t="inlineStr">
        <is>
          <t>KIA</t>
        </is>
      </c>
      <c r="D106" t="inlineStr">
        <is>
          <t>KT</t>
        </is>
      </c>
      <c r="E106" t="n">
        <v>2002</v>
      </c>
      <c r="F106" t="n">
        <v>12001</v>
      </c>
      <c r="G106" t="n">
        <v>50.26</v>
      </c>
      <c r="H106" t="n">
        <v>0.5025603248143491</v>
      </c>
      <c r="I106" t="inlineStr">
        <is>
          <t>core_sp</t>
        </is>
      </c>
      <c r="J106">
        <f>MAX(H106,1-H106)</f>
        <v/>
      </c>
      <c r="K106">
        <f>_xlfn.IFS(
J106&lt;=0.55,"50~55",
J106&lt;=0.6,"55~60",
J106&lt;=0.65,"60~65",
J106&lt;=0.7,"65~70",
TRUE,"70~100"
)</f>
        <v/>
      </c>
      <c r="L106">
        <f>IF(H106&gt;=0.5,"HOME","AWAY")</f>
        <v/>
      </c>
      <c r="M106">
        <f>IF(AND(N106&lt;&gt;"", OR(N106=0, N106=1)), (J106-N106)^2, "")</f>
        <v/>
      </c>
      <c r="N106" t="n">
        <v>0</v>
      </c>
      <c r="O106">
        <f>IF(AND(N106&lt;&gt;"", OR(N106=0, N106=1)), IF(ROUND(H106,0)=N106, 1, 0), "")</f>
        <v/>
      </c>
    </row>
    <row r="107">
      <c r="A107" t="n">
        <v>20260153</v>
      </c>
      <c r="B107" t="inlineStr">
        <is>
          <t>2026-05-02</t>
        </is>
      </c>
      <c r="C107" t="inlineStr">
        <is>
          <t>SSG</t>
        </is>
      </c>
      <c r="D107" t="inlineStr">
        <is>
          <t>롯데</t>
        </is>
      </c>
      <c r="E107" t="n">
        <v>9002</v>
      </c>
      <c r="F107" t="n">
        <v>3001</v>
      </c>
      <c r="G107" t="n">
        <v>35.93</v>
      </c>
      <c r="H107" t="n">
        <v>0.359263295257383</v>
      </c>
      <c r="I107" t="inlineStr">
        <is>
          <t>core_sp</t>
        </is>
      </c>
      <c r="J107">
        <f>MAX(H107,1-H107)</f>
        <v/>
      </c>
      <c r="K107">
        <f>_xlfn.IFS(
J107&lt;=0.55,"50~55",
J107&lt;=0.6,"55~60",
J107&lt;=0.65,"60~65",
J107&lt;=0.7,"65~70",
TRUE,"70~100"
)</f>
        <v/>
      </c>
      <c r="L107">
        <f>IF(H107&gt;=0.5,"HOME","AWAY")</f>
        <v/>
      </c>
      <c r="M107">
        <f>IF(AND(N107&lt;&gt;"", OR(N107=0, N107=1)), (J107-N107)^2, "")</f>
        <v/>
      </c>
      <c r="N107" t="n">
        <v>0</v>
      </c>
      <c r="O107">
        <f>IF(AND(N107&lt;&gt;"", OR(N107=0, N107=1)), IF(ROUND(H107,0)=N107, 1, 0), "")</f>
        <v/>
      </c>
    </row>
    <row r="108">
      <c r="A108" t="n">
        <v>20260151</v>
      </c>
      <c r="B108" t="inlineStr">
        <is>
          <t>2026-05-02</t>
        </is>
      </c>
      <c r="C108" t="inlineStr">
        <is>
          <t>LG</t>
        </is>
      </c>
      <c r="D108" t="inlineStr">
        <is>
          <t>NC</t>
        </is>
      </c>
      <c r="E108" t="n">
        <v>5002</v>
      </c>
      <c r="F108" t="n">
        <v>11001</v>
      </c>
      <c r="G108" t="n">
        <v>69.38</v>
      </c>
      <c r="H108" t="n">
        <v>0.6938160546049293</v>
      </c>
      <c r="I108" t="inlineStr">
        <is>
          <t>core_sp</t>
        </is>
      </c>
      <c r="J108">
        <f>MAX(H108,1-H108)</f>
        <v/>
      </c>
      <c r="K108">
        <f>_xlfn.IFS(
J108&lt;=0.55,"50~55",
J108&lt;=0.6,"55~60",
J108&lt;=0.65,"60~65",
J108&lt;=0.7,"65~70",
TRUE,"70~100"
)</f>
        <v/>
      </c>
      <c r="L108">
        <f>IF(H108&gt;=0.5,"HOME","AWAY")</f>
        <v/>
      </c>
      <c r="M108">
        <f>IF(AND(N108&lt;&gt;"", OR(N108=0, N108=1)), (J108-N108)^2, "")</f>
        <v/>
      </c>
      <c r="N108" t="n">
        <v>1</v>
      </c>
      <c r="O108">
        <f>IF(AND(N108&lt;&gt;"", OR(N108=0, N108=1)), IF(ROUND(H108,0)=N108, 1, 0), "")</f>
        <v/>
      </c>
    </row>
    <row r="109">
      <c r="A109" t="n">
        <v>20260152</v>
      </c>
      <c r="B109" t="inlineStr">
        <is>
          <t>2026-05-02</t>
        </is>
      </c>
      <c r="C109" t="inlineStr">
        <is>
          <t>키움</t>
        </is>
      </c>
      <c r="D109" t="inlineStr">
        <is>
          <t>두산</t>
        </is>
      </c>
      <c r="E109" t="n">
        <v>10001</v>
      </c>
      <c r="F109" t="n">
        <v>6002</v>
      </c>
      <c r="G109" t="n">
        <v>51.51</v>
      </c>
      <c r="H109" t="n">
        <v>0.5150539985774428</v>
      </c>
      <c r="I109" t="inlineStr">
        <is>
          <t>core_sp</t>
        </is>
      </c>
      <c r="J109">
        <f>MAX(H109,1-H109)</f>
        <v/>
      </c>
      <c r="K109">
        <f>_xlfn.IFS(
J109&lt;=0.55,"50~55",
J109&lt;=0.6,"55~60",
J109&lt;=0.65,"60~65",
J109&lt;=0.7,"65~70",
TRUE,"70~100"
)</f>
        <v/>
      </c>
      <c r="L109">
        <f>IF(H109&gt;=0.5,"HOME","AWAY")</f>
        <v/>
      </c>
      <c r="M109">
        <f>IF(AND(N109&lt;&gt;"", OR(N109=0, N109=1)), (J109-N109)^2, "")</f>
        <v/>
      </c>
      <c r="N109" t="n">
        <v>1</v>
      </c>
      <c r="O109">
        <f>IF(AND(N109&lt;&gt;"", OR(N109=0, N109=1)), IF(ROUND(H109,0)=N109, 1, 0), "")</f>
        <v/>
      </c>
    </row>
    <row r="110">
      <c r="A110" t="n">
        <v>20260154</v>
      </c>
      <c r="B110" t="inlineStr">
        <is>
          <t>2026-05-02</t>
        </is>
      </c>
      <c r="C110" t="inlineStr">
        <is>
          <t>삼성</t>
        </is>
      </c>
      <c r="D110" t="inlineStr">
        <is>
          <t>한화</t>
        </is>
      </c>
      <c r="E110" t="n">
        <v>1001</v>
      </c>
      <c r="F110" t="n">
        <v>7002</v>
      </c>
      <c r="G110" t="n">
        <v>63.57</v>
      </c>
      <c r="H110" t="n">
        <v>0.6356751568209943</v>
      </c>
      <c r="I110" t="inlineStr">
        <is>
          <t>core_sp</t>
        </is>
      </c>
      <c r="J110">
        <f>MAX(H110,1-H110)</f>
        <v/>
      </c>
      <c r="K110">
        <f>_xlfn.IFS(
J110&lt;=0.55,"50~55",
J110&lt;=0.6,"55~60",
J110&lt;=0.65,"60~65",
J110&lt;=0.7,"65~70",
TRUE,"70~100"
)</f>
        <v/>
      </c>
      <c r="L110">
        <f>IF(H110&gt;=0.5,"HOME","AWAY")</f>
        <v/>
      </c>
      <c r="M110">
        <f>IF(AND(N110&lt;&gt;"", OR(N110=0, N110=1)), (J110-N110)^2, "")</f>
        <v/>
      </c>
      <c r="N110" t="n">
        <v>0</v>
      </c>
      <c r="O110">
        <f>IF(AND(N110&lt;&gt;"", OR(N110=0, N110=1)), IF(ROUND(H110,0)=N110, 1, 0), "")</f>
        <v/>
      </c>
    </row>
    <row r="111">
      <c r="A111" t="n">
        <v>20260155</v>
      </c>
      <c r="B111" t="inlineStr">
        <is>
          <t>2026-05-02</t>
        </is>
      </c>
      <c r="C111" t="inlineStr">
        <is>
          <t>KIA</t>
        </is>
      </c>
      <c r="D111" t="inlineStr">
        <is>
          <t>KT</t>
        </is>
      </c>
      <c r="E111" t="n">
        <v>2002</v>
      </c>
      <c r="F111" t="n">
        <v>12001</v>
      </c>
      <c r="G111" t="n">
        <v>22.17</v>
      </c>
      <c r="H111" t="n">
        <v>0.2217037159004945</v>
      </c>
      <c r="I111" t="inlineStr">
        <is>
          <t>core_sp</t>
        </is>
      </c>
      <c r="J111">
        <f>MAX(H111,1-H111)</f>
        <v/>
      </c>
      <c r="K111">
        <f>_xlfn.IFS(
J111&lt;=0.55,"50~55",
J111&lt;=0.6,"55~60",
J111&lt;=0.65,"60~65",
J111&lt;=0.7,"65~70",
TRUE,"70~100"
)</f>
        <v/>
      </c>
      <c r="L111">
        <f>IF(H111&gt;=0.5,"HOME","AWAY")</f>
        <v/>
      </c>
      <c r="M111">
        <f>IF(AND(N111&lt;&gt;"", OR(N111=0, N111=1)), (J111-N111)^2, "")</f>
        <v/>
      </c>
      <c r="N111" t="n">
        <v>1</v>
      </c>
      <c r="O111">
        <f>IF(AND(N111&lt;&gt;"", OR(N111=0, N111=1)), IF(ROUND(H111,0)=N111, 1, 0), "")</f>
        <v/>
      </c>
    </row>
    <row r="112">
      <c r="A112" t="n">
        <v>20260156</v>
      </c>
      <c r="B112" t="inlineStr">
        <is>
          <t>2026-05-03</t>
        </is>
      </c>
      <c r="C112" t="inlineStr">
        <is>
          <t>LG</t>
        </is>
      </c>
      <c r="D112" t="inlineStr">
        <is>
          <t>NC</t>
        </is>
      </c>
      <c r="E112" t="n">
        <v>5002</v>
      </c>
      <c r="F112" t="n">
        <v>11001</v>
      </c>
      <c r="G112" t="n">
        <v>59.68</v>
      </c>
      <c r="H112" t="n">
        <v>0.5968434701209167</v>
      </c>
      <c r="I112" t="inlineStr">
        <is>
          <t>core_full</t>
        </is>
      </c>
      <c r="J112">
        <f>MAX(H112,1-H112)</f>
        <v/>
      </c>
      <c r="K112">
        <f>_xlfn.IFS(
J112&lt;=0.55,"50~55",
J112&lt;=0.6,"55~60",
J112&lt;=0.65,"60~65",
J112&lt;=0.7,"65~70",
TRUE,"70~100"
)</f>
        <v/>
      </c>
      <c r="L112">
        <f>IF(H112&gt;=0.5,"HOME","AWAY")</f>
        <v/>
      </c>
      <c r="M112">
        <f>IF(AND(N112&lt;&gt;"", OR(N112=0, N112=1)), (J112-N112)^2, "")</f>
        <v/>
      </c>
      <c r="N112" t="n">
        <v>0</v>
      </c>
      <c r="O112">
        <f>IF(AND(N112&lt;&gt;"", OR(N112=0, N112=1)), IF(ROUND(H112,0)=N112, 1, 0), "")</f>
        <v/>
      </c>
    </row>
    <row r="113">
      <c r="A113" t="n">
        <v>20260157</v>
      </c>
      <c r="B113" t="inlineStr">
        <is>
          <t>2026-05-03</t>
        </is>
      </c>
      <c r="C113" t="inlineStr">
        <is>
          <t>키움</t>
        </is>
      </c>
      <c r="D113" t="inlineStr">
        <is>
          <t>두산</t>
        </is>
      </c>
      <c r="E113" t="n">
        <v>10001</v>
      </c>
      <c r="F113" t="n">
        <v>6002</v>
      </c>
      <c r="G113" t="n">
        <v>33.7</v>
      </c>
      <c r="H113" t="n">
        <v>0.3369959680937486</v>
      </c>
      <c r="I113" t="inlineStr">
        <is>
          <t>core_full</t>
        </is>
      </c>
      <c r="J113">
        <f>MAX(H113,1-H113)</f>
        <v/>
      </c>
      <c r="K113">
        <f>_xlfn.IFS(
J113&lt;=0.55,"50~55",
J113&lt;=0.6,"55~60",
J113&lt;=0.65,"60~65",
J113&lt;=0.7,"65~70",
TRUE,"70~100"
)</f>
        <v/>
      </c>
      <c r="L113">
        <f>IF(H113&gt;=0.5,"HOME","AWAY")</f>
        <v/>
      </c>
      <c r="M113">
        <f>IF(AND(N113&lt;&gt;"", OR(N113=0, N113=1)), (J113-N113)^2, "")</f>
        <v/>
      </c>
      <c r="N113" t="n">
        <v>0</v>
      </c>
      <c r="O113">
        <f>IF(AND(N113&lt;&gt;"", OR(N113=0, N113=1)), IF(ROUND(H113,0)=N113, 1, 0), "")</f>
        <v/>
      </c>
    </row>
    <row r="114">
      <c r="A114" t="n">
        <v>20260158</v>
      </c>
      <c r="B114" t="inlineStr">
        <is>
          <t>2026-05-03</t>
        </is>
      </c>
      <c r="C114" t="inlineStr">
        <is>
          <t>SSG</t>
        </is>
      </c>
      <c r="D114" t="inlineStr">
        <is>
          <t>롯데</t>
        </is>
      </c>
      <c r="E114" t="n">
        <v>9002</v>
      </c>
      <c r="F114" t="n">
        <v>3001</v>
      </c>
      <c r="G114" t="n">
        <v>52.53</v>
      </c>
      <c r="H114" t="n">
        <v>0.5252705269592602</v>
      </c>
      <c r="I114" t="inlineStr">
        <is>
          <t>core_full</t>
        </is>
      </c>
      <c r="J114">
        <f>MAX(H114,1-H114)</f>
        <v/>
      </c>
      <c r="K114">
        <f>_xlfn.IFS(
J114&lt;=0.55,"50~55",
J114&lt;=0.6,"55~60",
J114&lt;=0.65,"60~65",
J114&lt;=0.7,"65~70",
TRUE,"70~100"
)</f>
        <v/>
      </c>
      <c r="L114">
        <f>IF(H114&gt;=0.5,"HOME","AWAY")</f>
        <v/>
      </c>
      <c r="M114">
        <f>IF(AND(N114&lt;&gt;"", OR(N114=0, N114=1)), (J114-N114)^2, "")</f>
        <v/>
      </c>
      <c r="N114" t="n">
        <v>0</v>
      </c>
      <c r="O114">
        <f>IF(AND(N114&lt;&gt;"", OR(N114=0, N114=1)), IF(ROUND(H114,0)=N114, 1, 0), "")</f>
        <v/>
      </c>
    </row>
    <row r="115">
      <c r="A115" t="n">
        <v>20260159</v>
      </c>
      <c r="B115" t="inlineStr">
        <is>
          <t>2026-05-03</t>
        </is>
      </c>
      <c r="C115" t="inlineStr">
        <is>
          <t>삼성</t>
        </is>
      </c>
      <c r="D115" t="inlineStr">
        <is>
          <t>한화</t>
        </is>
      </c>
      <c r="E115" t="n">
        <v>1001</v>
      </c>
      <c r="F115" t="n">
        <v>7002</v>
      </c>
      <c r="G115" t="n">
        <v>67.58</v>
      </c>
      <c r="H115" t="n">
        <v>0.6758323792512235</v>
      </c>
      <c r="I115" t="inlineStr">
        <is>
          <t>core_full</t>
        </is>
      </c>
      <c r="J115">
        <f>MAX(H115,1-H115)</f>
        <v/>
      </c>
      <c r="K115">
        <f>_xlfn.IFS(
J115&lt;=0.55,"50~55",
J115&lt;=0.6,"55~60",
J115&lt;=0.65,"60~65",
J115&lt;=0.7,"65~70",
TRUE,"70~100"
)</f>
        <v/>
      </c>
      <c r="L115">
        <f>IF(H115&gt;=0.5,"HOME","AWAY")</f>
        <v/>
      </c>
      <c r="M115">
        <f>IF(AND(N115&lt;&gt;"", OR(N115=0, N115=1)), (J115-N115)^2, "")</f>
        <v/>
      </c>
      <c r="N115" t="n">
        <v>1</v>
      </c>
      <c r="O115">
        <f>IF(AND(N115&lt;&gt;"", OR(N115=0, N115=1)), IF(ROUND(H115,0)=N115, 1, 0), "")</f>
        <v/>
      </c>
    </row>
    <row r="116">
      <c r="A116" t="n">
        <v>20260160</v>
      </c>
      <c r="B116" t="inlineStr">
        <is>
          <t>2026-05-03</t>
        </is>
      </c>
      <c r="C116" t="inlineStr">
        <is>
          <t>KIA</t>
        </is>
      </c>
      <c r="D116" t="inlineStr">
        <is>
          <t>KT</t>
        </is>
      </c>
      <c r="E116" t="n">
        <v>2002</v>
      </c>
      <c r="F116" t="n">
        <v>12001</v>
      </c>
      <c r="G116" t="n">
        <v>60.45</v>
      </c>
      <c r="H116" t="n">
        <v>0.6044646686812145</v>
      </c>
      <c r="I116" t="inlineStr">
        <is>
          <t>core_full</t>
        </is>
      </c>
      <c r="J116">
        <f>MAX(H116,1-H116)</f>
        <v/>
      </c>
      <c r="K116">
        <f>_xlfn.IFS(
J116&lt;=0.55,"50~55",
J116&lt;=0.6,"55~60",
J116&lt;=0.65,"60~65",
J116&lt;=0.7,"65~70",
TRUE,"70~100"
)</f>
        <v/>
      </c>
      <c r="L116">
        <f>IF(H116&gt;=0.5,"HOME","AWAY")</f>
        <v/>
      </c>
      <c r="M116">
        <f>IF(AND(N116&lt;&gt;"", OR(N116=0, N116=1)), (J116-N116)^2, "")</f>
        <v/>
      </c>
      <c r="N116" t="n">
        <v>0</v>
      </c>
      <c r="O116">
        <f>IF(AND(N116&lt;&gt;"", OR(N116=0, N116=1)), IF(ROUND(H116,0)=N116, 1, 0), "")</f>
        <v/>
      </c>
    </row>
    <row r="117">
      <c r="A117" t="n">
        <v>20260161</v>
      </c>
      <c r="B117" t="inlineStr">
        <is>
          <t>2026-05-05</t>
        </is>
      </c>
      <c r="C117" t="inlineStr">
        <is>
          <t>LG</t>
        </is>
      </c>
      <c r="D117" t="inlineStr">
        <is>
          <t>두산</t>
        </is>
      </c>
      <c r="E117" t="n">
        <v>5002</v>
      </c>
      <c r="F117" t="n">
        <v>6002</v>
      </c>
      <c r="G117" t="n">
        <v>55.57</v>
      </c>
      <c r="H117" t="n">
        <v>0.5556770728198975</v>
      </c>
      <c r="I117" t="inlineStr">
        <is>
          <t>core_sp</t>
        </is>
      </c>
      <c r="J117">
        <f>MAX(H117,1-H117)</f>
        <v/>
      </c>
      <c r="K117">
        <f>_xlfn.IFS(
J117&lt;=0.55,"50~55",
J117&lt;=0.6,"55~60",
J117&lt;=0.65,"60~65",
J117&lt;=0.7,"65~70",
TRUE,"70~100"
)</f>
        <v/>
      </c>
      <c r="L117">
        <f>IF(H117&gt;=0.5,"HOME","AWAY")</f>
        <v/>
      </c>
      <c r="M117">
        <f>IF(AND(N117&lt;&gt;"", OR(N117=0, N117=1)), (J117-N117)^2, "")</f>
        <v/>
      </c>
      <c r="N117" t="n">
        <v>1</v>
      </c>
      <c r="O117">
        <f>IF(AND(N117&lt;&gt;"", OR(N117=0, N117=1)), IF(ROUND(H117,0)=N117, 1, 0), "")</f>
        <v/>
      </c>
    </row>
    <row r="118">
      <c r="A118" t="n">
        <v>20260162</v>
      </c>
      <c r="B118" t="inlineStr">
        <is>
          <t>2026-05-05</t>
        </is>
      </c>
      <c r="C118" t="inlineStr">
        <is>
          <t>SSG</t>
        </is>
      </c>
      <c r="D118" t="inlineStr">
        <is>
          <t>NC</t>
        </is>
      </c>
      <c r="E118" t="n">
        <v>9002</v>
      </c>
      <c r="F118" t="n">
        <v>11001</v>
      </c>
      <c r="G118" t="n">
        <v>84.28</v>
      </c>
      <c r="H118" t="n">
        <v>0.8427921168566392</v>
      </c>
      <c r="I118" t="inlineStr">
        <is>
          <t>core_sp</t>
        </is>
      </c>
      <c r="J118">
        <f>MAX(H118,1-H118)</f>
        <v/>
      </c>
      <c r="K118">
        <f>_xlfn.IFS(
J118&lt;=0.55,"50~55",
J118&lt;=0.6,"55~60",
J118&lt;=0.65,"60~65",
J118&lt;=0.7,"65~70",
TRUE,"70~100"
)</f>
        <v/>
      </c>
      <c r="L118">
        <f>IF(H118&gt;=0.5,"HOME","AWAY")</f>
        <v/>
      </c>
      <c r="M118">
        <f>IF(AND(N118&lt;&gt;"", OR(N118=0, N118=1)), (J118-N118)^2, "")</f>
        <v/>
      </c>
      <c r="N118" t="inlineStr">
        <is>
          <t>draw</t>
        </is>
      </c>
      <c r="O118">
        <f>IF(AND(N118&lt;&gt;"", OR(N118=0, N118=1)), IF(ROUND(H118,0)=N118, 1, 0), "")</f>
        <v/>
      </c>
    </row>
    <row r="119">
      <c r="A119" t="n">
        <v>20260163</v>
      </c>
      <c r="B119" t="inlineStr">
        <is>
          <t>2026-05-05</t>
        </is>
      </c>
      <c r="C119" t="inlineStr">
        <is>
          <t>KT</t>
        </is>
      </c>
      <c r="D119" t="inlineStr">
        <is>
          <t>롯데</t>
        </is>
      </c>
      <c r="E119" t="n">
        <v>12001</v>
      </c>
      <c r="F119" t="n">
        <v>3001</v>
      </c>
      <c r="G119" t="n">
        <v>49.71</v>
      </c>
      <c r="H119" t="n">
        <v>0.4970715435409234</v>
      </c>
      <c r="I119" t="inlineStr">
        <is>
          <t>core_sp</t>
        </is>
      </c>
      <c r="J119">
        <f>MAX(H119,1-H119)</f>
        <v/>
      </c>
      <c r="K119">
        <f>_xlfn.IFS(
J119&lt;=0.55,"50~55",
J119&lt;=0.6,"55~60",
J119&lt;=0.65,"60~65",
J119&lt;=0.7,"65~70",
TRUE,"70~100"
)</f>
        <v/>
      </c>
      <c r="L119">
        <f>IF(H119&gt;=0.5,"HOME","AWAY")</f>
        <v/>
      </c>
      <c r="M119">
        <f>IF(AND(N119&lt;&gt;"", OR(N119=0, N119=1)), (J119-N119)^2, "")</f>
        <v/>
      </c>
      <c r="N119" t="n">
        <v>1</v>
      </c>
      <c r="O119">
        <f>IF(AND(N119&lt;&gt;"", OR(N119=0, N119=1)), IF(ROUND(H119,0)=N119, 1, 0), "")</f>
        <v/>
      </c>
    </row>
    <row r="120">
      <c r="A120" t="n">
        <v>20260164</v>
      </c>
      <c r="B120" t="inlineStr">
        <is>
          <t>2026-05-05</t>
        </is>
      </c>
      <c r="C120" t="inlineStr">
        <is>
          <t>삼성</t>
        </is>
      </c>
      <c r="D120" t="inlineStr">
        <is>
          <t>키움</t>
        </is>
      </c>
      <c r="E120" t="n">
        <v>1001</v>
      </c>
      <c r="F120" t="n">
        <v>10001</v>
      </c>
      <c r="G120" t="n">
        <v>44.89</v>
      </c>
      <c r="H120" t="n">
        <v>0.4488749852211815</v>
      </c>
      <c r="I120" t="inlineStr">
        <is>
          <t>core_sp</t>
        </is>
      </c>
      <c r="J120">
        <f>MAX(H120,1-H120)</f>
        <v/>
      </c>
      <c r="K120">
        <f>_xlfn.IFS(
J120&lt;=0.55,"50~55",
J120&lt;=0.6,"55~60",
J120&lt;=0.65,"60~65",
J120&lt;=0.7,"65~70",
TRUE,"70~100"
)</f>
        <v/>
      </c>
      <c r="L120">
        <f>IF(H120&gt;=0.5,"HOME","AWAY")</f>
        <v/>
      </c>
      <c r="M120">
        <f>IF(AND(N120&lt;&gt;"", OR(N120=0, N120=1)), (J120-N120)^2, "")</f>
        <v/>
      </c>
      <c r="N120" t="n">
        <v>1</v>
      </c>
      <c r="O120">
        <f>IF(AND(N120&lt;&gt;"", OR(N120=0, N120=1)), IF(ROUND(H120,0)=N120, 1, 0), "")</f>
        <v/>
      </c>
    </row>
    <row r="121">
      <c r="A121" t="n">
        <v>20260165</v>
      </c>
      <c r="B121" t="inlineStr">
        <is>
          <t>2026-05-05</t>
        </is>
      </c>
      <c r="C121" t="inlineStr">
        <is>
          <t>KIA</t>
        </is>
      </c>
      <c r="D121" t="inlineStr">
        <is>
          <t>한화</t>
        </is>
      </c>
      <c r="E121" t="n">
        <v>2002</v>
      </c>
      <c r="F121" t="n">
        <v>7002</v>
      </c>
      <c r="G121" t="n">
        <v>49.57</v>
      </c>
      <c r="H121" t="n">
        <v>0.495687043223474</v>
      </c>
      <c r="I121" t="inlineStr">
        <is>
          <t>core_sp</t>
        </is>
      </c>
      <c r="J121">
        <f>MAX(H121,1-H121)</f>
        <v/>
      </c>
      <c r="K121">
        <f>_xlfn.IFS(
J121&lt;=0.55,"50~55",
J121&lt;=0.6,"55~60",
J121&lt;=0.65,"60~65",
J121&lt;=0.7,"65~70",
TRUE,"70~100"
)</f>
        <v/>
      </c>
      <c r="L121">
        <f>IF(H121&gt;=0.5,"HOME","AWAY")</f>
        <v/>
      </c>
      <c r="M121">
        <f>IF(AND(N121&lt;&gt;"", OR(N121=0, N121=1)), (J121-N121)^2, "")</f>
        <v/>
      </c>
      <c r="N121" t="n">
        <v>1</v>
      </c>
      <c r="O121">
        <f>IF(AND(N121&lt;&gt;"", OR(N121=0, N121=1)), IF(ROUND(H121,0)=N121, 1, 0), "")</f>
        <v/>
      </c>
    </row>
    <row r="122">
      <c r="A122" t="n">
        <v>20260166</v>
      </c>
      <c r="B122" t="inlineStr">
        <is>
          <t>2026-05-06</t>
        </is>
      </c>
      <c r="C122" t="inlineStr">
        <is>
          <t>LG</t>
        </is>
      </c>
      <c r="D122" t="inlineStr">
        <is>
          <t>두산</t>
        </is>
      </c>
      <c r="E122" t="n">
        <v>5002</v>
      </c>
      <c r="F122" t="n">
        <v>6002</v>
      </c>
      <c r="G122" t="n">
        <v>35.16</v>
      </c>
      <c r="H122" t="n">
        <v>0.3515808439856245</v>
      </c>
      <c r="I122" t="inlineStr">
        <is>
          <t>core_full</t>
        </is>
      </c>
      <c r="J122">
        <f>MAX(H122,1-H122)</f>
        <v/>
      </c>
      <c r="K122">
        <f>_xlfn.IFS(
J122&lt;=0.55,"50~55",
J122&lt;=0.6,"55~60",
J122&lt;=0.65,"60~65",
J122&lt;=0.7,"65~70",
TRUE,"70~100"
)</f>
        <v/>
      </c>
      <c r="L122">
        <f>IF(H122&gt;=0.5,"HOME","AWAY")</f>
        <v/>
      </c>
      <c r="M122">
        <f>IF(AND(N122&lt;&gt;"", OR(N122=0, N122=1)), (J122-N122)^2, "")</f>
        <v/>
      </c>
      <c r="N122" t="n">
        <v>1</v>
      </c>
      <c r="O122">
        <f>IF(AND(N122&lt;&gt;"", OR(N122=0, N122=1)), IF(ROUND(H122,0)=N122, 1, 0), "")</f>
        <v/>
      </c>
    </row>
    <row r="123">
      <c r="A123" t="n">
        <v>20260167</v>
      </c>
      <c r="B123" t="inlineStr">
        <is>
          <t>2026-05-06</t>
        </is>
      </c>
      <c r="C123" t="inlineStr">
        <is>
          <t>SSG</t>
        </is>
      </c>
      <c r="D123" t="inlineStr">
        <is>
          <t>NC</t>
        </is>
      </c>
      <c r="E123" t="n">
        <v>9002</v>
      </c>
      <c r="F123" t="n">
        <v>11001</v>
      </c>
      <c r="G123" t="n">
        <v>42.66</v>
      </c>
      <c r="H123" t="n">
        <v>0.4266464856703586</v>
      </c>
      <c r="I123" t="inlineStr">
        <is>
          <t>core_full</t>
        </is>
      </c>
      <c r="J123">
        <f>MAX(H123,1-H123)</f>
        <v/>
      </c>
      <c r="K123">
        <f>_xlfn.IFS(
J123&lt;=0.55,"50~55",
J123&lt;=0.6,"55~60",
J123&lt;=0.65,"60~65",
J123&lt;=0.7,"65~70",
TRUE,"70~100"
)</f>
        <v/>
      </c>
      <c r="L123">
        <f>IF(H123&gt;=0.5,"HOME","AWAY")</f>
        <v/>
      </c>
      <c r="M123">
        <f>IF(AND(N123&lt;&gt;"", OR(N123=0, N123=1)), (J123-N123)^2, "")</f>
        <v/>
      </c>
      <c r="N123" t="n">
        <v>1</v>
      </c>
      <c r="O123">
        <f>IF(AND(N123&lt;&gt;"", OR(N123=0, N123=1)), IF(ROUND(H123,0)=N123, 1, 0), "")</f>
        <v/>
      </c>
    </row>
    <row r="124">
      <c r="A124" t="n">
        <v>20260168</v>
      </c>
      <c r="B124" t="inlineStr">
        <is>
          <t>2026-05-06</t>
        </is>
      </c>
      <c r="C124" t="inlineStr">
        <is>
          <t>KT</t>
        </is>
      </c>
      <c r="D124" t="inlineStr">
        <is>
          <t>롯데</t>
        </is>
      </c>
      <c r="E124" t="n">
        <v>12001</v>
      </c>
      <c r="F124" t="n">
        <v>3001</v>
      </c>
      <c r="G124" t="n">
        <v>46.81</v>
      </c>
      <c r="H124" t="n">
        <v>0.4680945058598358</v>
      </c>
      <c r="I124" t="inlineStr">
        <is>
          <t>core_full</t>
        </is>
      </c>
      <c r="J124">
        <f>MAX(H124,1-H124)</f>
        <v/>
      </c>
      <c r="K124">
        <f>_xlfn.IFS(
J124&lt;=0.55,"50~55",
J124&lt;=0.6,"55~60",
J124&lt;=0.65,"60~65",
J124&lt;=0.7,"65~70",
TRUE,"70~100"
)</f>
        <v/>
      </c>
      <c r="L124">
        <f>IF(H124&gt;=0.5,"HOME","AWAY")</f>
        <v/>
      </c>
      <c r="M124">
        <f>IF(AND(N124&lt;&gt;"", OR(N124=0, N124=1)), (J124-N124)^2, "")</f>
        <v/>
      </c>
      <c r="N124" t="n">
        <v>0</v>
      </c>
      <c r="O124">
        <f>IF(AND(N124&lt;&gt;"", OR(N124=0, N124=1)), IF(ROUND(H124,0)=N124, 1, 0), "")</f>
        <v/>
      </c>
    </row>
    <row r="125">
      <c r="A125" t="n">
        <v>20260169</v>
      </c>
      <c r="B125" t="inlineStr">
        <is>
          <t>2026-05-06</t>
        </is>
      </c>
      <c r="C125" t="inlineStr">
        <is>
          <t>삼성</t>
        </is>
      </c>
      <c r="D125" t="inlineStr">
        <is>
          <t>키움</t>
        </is>
      </c>
      <c r="E125" t="n">
        <v>1001</v>
      </c>
      <c r="F125" t="n">
        <v>10001</v>
      </c>
      <c r="G125" t="n">
        <v>69.25</v>
      </c>
      <c r="H125" t="n">
        <v>0.692535750200136</v>
      </c>
      <c r="I125" t="inlineStr">
        <is>
          <t>core_full</t>
        </is>
      </c>
      <c r="J125">
        <f>MAX(H125,1-H125)</f>
        <v/>
      </c>
      <c r="K125">
        <f>_xlfn.IFS(
J125&lt;=0.55,"50~55",
J125&lt;=0.6,"55~60",
J125&lt;=0.65,"60~65",
J125&lt;=0.7,"65~70",
TRUE,"70~100"
)</f>
        <v/>
      </c>
      <c r="L125">
        <f>IF(H125&gt;=0.5,"HOME","AWAY")</f>
        <v/>
      </c>
      <c r="M125">
        <f>IF(AND(N125&lt;&gt;"", OR(N125=0, N125=1)), (J125-N125)^2, "")</f>
        <v/>
      </c>
      <c r="N125" t="n">
        <v>1</v>
      </c>
      <c r="O125">
        <f>IF(AND(N125&lt;&gt;"", OR(N125=0, N125=1)), IF(ROUND(H125,0)=N125, 1, 0), "")</f>
        <v/>
      </c>
    </row>
    <row r="126">
      <c r="A126" t="n">
        <v>20260170</v>
      </c>
      <c r="B126" t="inlineStr">
        <is>
          <t>2026-05-06</t>
        </is>
      </c>
      <c r="C126" t="inlineStr">
        <is>
          <t>KIA</t>
        </is>
      </c>
      <c r="D126" t="inlineStr">
        <is>
          <t>한화</t>
        </is>
      </c>
      <c r="E126" t="n">
        <v>2002</v>
      </c>
      <c r="F126" t="n">
        <v>7002</v>
      </c>
      <c r="G126" t="n">
        <v>62.97</v>
      </c>
      <c r="H126" t="n">
        <v>0.629663160063168</v>
      </c>
      <c r="I126" t="inlineStr">
        <is>
          <t>core_full</t>
        </is>
      </c>
      <c r="J126">
        <f>MAX(H126,1-H126)</f>
        <v/>
      </c>
      <c r="K126">
        <f>_xlfn.IFS(
J126&lt;=0.55,"50~55",
J126&lt;=0.6,"55~60",
J126&lt;=0.65,"60~65",
J126&lt;=0.7,"65~70",
TRUE,"70~100"
)</f>
        <v/>
      </c>
      <c r="L126">
        <f>IF(H126&gt;=0.5,"HOME","AWAY")</f>
        <v/>
      </c>
      <c r="M126">
        <f>IF(AND(N126&lt;&gt;"", OR(N126=0, N126=1)), (J126-N126)^2, "")</f>
        <v/>
      </c>
      <c r="N126" t="n">
        <v>0</v>
      </c>
      <c r="O126">
        <f>IF(AND(N126&lt;&gt;"", OR(N126=0, N126=1)), IF(ROUND(H126,0)=N126, 1, 0), "")</f>
        <v/>
      </c>
    </row>
    <row r="127">
      <c r="A127" t="n">
        <v>20260171</v>
      </c>
      <c r="B127" t="inlineStr">
        <is>
          <t>2026-05-07</t>
        </is>
      </c>
      <c r="C127" t="inlineStr">
        <is>
          <t>LG</t>
        </is>
      </c>
      <c r="D127" t="inlineStr">
        <is>
          <t>두산</t>
        </is>
      </c>
      <c r="E127" t="n">
        <v>5002</v>
      </c>
      <c r="F127" t="n">
        <v>6002</v>
      </c>
      <c r="G127" t="n">
        <v>37.05</v>
      </c>
      <c r="H127" t="n">
        <v>0.3704584926128489</v>
      </c>
      <c r="I127" t="inlineStr">
        <is>
          <t>core_full</t>
        </is>
      </c>
      <c r="J127">
        <f>MAX(H127,1-H127)</f>
        <v/>
      </c>
      <c r="K127">
        <f>_xlfn.IFS(
J127&lt;=0.55,"50~55",
J127&lt;=0.6,"55~60",
J127&lt;=0.65,"60~65",
J127&lt;=0.7,"65~70",
TRUE,"70~100"
)</f>
        <v/>
      </c>
      <c r="L127">
        <f>IF(H127&gt;=0.5,"HOME","AWAY")</f>
        <v/>
      </c>
      <c r="M127">
        <f>IF(AND(N127&lt;&gt;"", OR(N127=0, N127=1)), (J127-N127)^2, "")</f>
        <v/>
      </c>
      <c r="N127" t="n">
        <v>0</v>
      </c>
      <c r="O127">
        <f>IF(AND(N127&lt;&gt;"", OR(N127=0, N127=1)), IF(ROUND(H127,0)=N127, 1, 0), "")</f>
        <v/>
      </c>
    </row>
    <row r="128">
      <c r="A128" t="n">
        <v>20260172</v>
      </c>
      <c r="B128" t="inlineStr">
        <is>
          <t>2026-05-07</t>
        </is>
      </c>
      <c r="C128" t="inlineStr">
        <is>
          <t>SSG</t>
        </is>
      </c>
      <c r="D128" t="inlineStr">
        <is>
          <t>NC</t>
        </is>
      </c>
      <c r="E128" t="n">
        <v>9002</v>
      </c>
      <c r="F128" t="n">
        <v>11001</v>
      </c>
      <c r="G128" t="n">
        <v>39.91</v>
      </c>
      <c r="H128" t="n">
        <v>0.3990798366473759</v>
      </c>
      <c r="I128" t="inlineStr">
        <is>
          <t>core_full</t>
        </is>
      </c>
      <c r="J128">
        <f>MAX(H128,1-H128)</f>
        <v/>
      </c>
      <c r="K128">
        <f>_xlfn.IFS(
J128&lt;=0.55,"50~55",
J128&lt;=0.6,"55~60",
J128&lt;=0.65,"60~65",
J128&lt;=0.7,"65~70",
TRUE,"70~100"
)</f>
        <v/>
      </c>
      <c r="L128">
        <f>IF(H128&gt;=0.5,"HOME","AWAY")</f>
        <v/>
      </c>
      <c r="M128">
        <f>IF(AND(N128&lt;&gt;"", OR(N128=0, N128=1)), (J128-N128)^2, "")</f>
        <v/>
      </c>
      <c r="N128" t="n">
        <v>0</v>
      </c>
      <c r="O128">
        <f>IF(AND(N128&lt;&gt;"", OR(N128=0, N128=1)), IF(ROUND(H128,0)=N128, 1, 0), "")</f>
        <v/>
      </c>
    </row>
    <row r="129">
      <c r="A129" t="n">
        <v>20260173</v>
      </c>
      <c r="B129" t="inlineStr">
        <is>
          <t>2026-05-07</t>
        </is>
      </c>
      <c r="C129" t="inlineStr">
        <is>
          <t>KT</t>
        </is>
      </c>
      <c r="D129" t="inlineStr">
        <is>
          <t>롯데</t>
        </is>
      </c>
      <c r="E129" t="n">
        <v>12001</v>
      </c>
      <c r="F129" t="n">
        <v>3001</v>
      </c>
      <c r="G129" t="n">
        <v>56.92</v>
      </c>
      <c r="H129" t="n">
        <v>0.5692235789036996</v>
      </c>
      <c r="I129" t="inlineStr">
        <is>
          <t>core_sp</t>
        </is>
      </c>
      <c r="J129">
        <f>MAX(H129,1-H129)</f>
        <v/>
      </c>
      <c r="K129">
        <f>_xlfn.IFS(
J129&lt;=0.55,"50~55",
J129&lt;=0.6,"55~60",
J129&lt;=0.65,"60~65",
J129&lt;=0.7,"65~70",
TRUE,"70~100"
)</f>
        <v/>
      </c>
      <c r="L129">
        <f>IF(H129&gt;=0.5,"HOME","AWAY")</f>
        <v/>
      </c>
      <c r="M129">
        <f>IF(AND(N129&lt;&gt;"", OR(N129=0, N129=1)), (J129-N129)^2, "")</f>
        <v/>
      </c>
      <c r="N129" t="inlineStr">
        <is>
          <t>cancel</t>
        </is>
      </c>
      <c r="O129">
        <f>IF(AND(N129&lt;&gt;"", OR(N129=0, N129=1)), IF(ROUND(H129,0)=N129, 1, 0), "")</f>
        <v/>
      </c>
    </row>
    <row r="130">
      <c r="A130" t="n">
        <v>20260174</v>
      </c>
      <c r="B130" t="inlineStr">
        <is>
          <t>2026-05-07</t>
        </is>
      </c>
      <c r="C130" t="inlineStr">
        <is>
          <t>삼성</t>
        </is>
      </c>
      <c r="D130" t="inlineStr">
        <is>
          <t>키움</t>
        </is>
      </c>
      <c r="E130" t="n">
        <v>1001</v>
      </c>
      <c r="F130" t="n">
        <v>10001</v>
      </c>
      <c r="G130" t="n">
        <v>80.86</v>
      </c>
      <c r="H130" t="n">
        <v>0.8086293654904804</v>
      </c>
      <c r="I130" t="inlineStr">
        <is>
          <t>core_full</t>
        </is>
      </c>
      <c r="J130">
        <f>MAX(H130,1-H130)</f>
        <v/>
      </c>
      <c r="K130">
        <f>_xlfn.IFS(
J130&lt;=0.55,"50~55",
J130&lt;=0.6,"55~60",
J130&lt;=0.65,"60~65",
J130&lt;=0.7,"65~70",
TRUE,"70~100"
)</f>
        <v/>
      </c>
      <c r="L130">
        <f>IF(H130&gt;=0.5,"HOME","AWAY")</f>
        <v/>
      </c>
      <c r="M130">
        <f>IF(AND(N130&lt;&gt;"", OR(N130=0, N130=1)), (J130-N130)^2, "")</f>
        <v/>
      </c>
      <c r="N130" t="n">
        <v>1</v>
      </c>
      <c r="O130">
        <f>IF(AND(N130&lt;&gt;"", OR(N130=0, N130=1)), IF(ROUND(H130,0)=N130, 1, 0), "")</f>
        <v/>
      </c>
    </row>
    <row r="131">
      <c r="A131" t="n">
        <v>20260175</v>
      </c>
      <c r="B131" t="inlineStr">
        <is>
          <t>2026-05-07</t>
        </is>
      </c>
      <c r="C131" t="inlineStr">
        <is>
          <t>KIA</t>
        </is>
      </c>
      <c r="D131" t="inlineStr">
        <is>
          <t>한화</t>
        </is>
      </c>
      <c r="E131" t="n">
        <v>2002</v>
      </c>
      <c r="F131" t="n">
        <v>7002</v>
      </c>
      <c r="G131" t="n">
        <v>49.78</v>
      </c>
      <c r="H131" t="n">
        <v>0.4978379074402617</v>
      </c>
      <c r="I131" t="inlineStr">
        <is>
          <t>core_full</t>
        </is>
      </c>
      <c r="J131">
        <f>MAX(H131,1-H131)</f>
        <v/>
      </c>
      <c r="K131">
        <f>_xlfn.IFS(
J131&lt;=0.55,"50~55",
J131&lt;=0.6,"55~60",
J131&lt;=0.65,"60~65",
J131&lt;=0.7,"65~70",
TRUE,"70~100"
)</f>
        <v/>
      </c>
      <c r="L131">
        <f>IF(H131&gt;=0.5,"HOME","AWAY")</f>
        <v/>
      </c>
      <c r="M131">
        <f>IF(AND(N131&lt;&gt;"", OR(N131=0, N131=1)), (J131-N131)^2, "")</f>
        <v/>
      </c>
      <c r="N131" t="n">
        <v>0</v>
      </c>
      <c r="O131">
        <f>IF(AND(N131&lt;&gt;"", OR(N131=0, N131=1)), IF(ROUND(H131,0)=N131, 1, 0), "")</f>
        <v/>
      </c>
    </row>
    <row r="132">
      <c r="A132" t="n">
        <v>20260176</v>
      </c>
      <c r="B132" t="inlineStr">
        <is>
          <t>2026-05-08</t>
        </is>
      </c>
      <c r="C132" t="inlineStr">
        <is>
          <t>두산</t>
        </is>
      </c>
      <c r="D132" t="inlineStr">
        <is>
          <t>SSG</t>
        </is>
      </c>
      <c r="E132" t="n">
        <v>6002</v>
      </c>
      <c r="F132" t="n">
        <v>9002</v>
      </c>
      <c r="G132" t="n">
        <v>63.78</v>
      </c>
      <c r="H132" t="n">
        <v>0.6377992425958298</v>
      </c>
      <c r="I132" t="inlineStr">
        <is>
          <t>core_full</t>
        </is>
      </c>
      <c r="J132">
        <f>MAX(H132,1-H132)</f>
        <v/>
      </c>
      <c r="K132">
        <f>_xlfn.IFS(
J132&lt;=0.55,"50~55",
J132&lt;=0.6,"55~60",
J132&lt;=0.65,"60~65",
J132&lt;=0.7,"65~70",
TRUE,"70~100"
)</f>
        <v/>
      </c>
      <c r="L132">
        <f>IF(H132&gt;=0.5,"HOME","AWAY")</f>
        <v/>
      </c>
      <c r="M132">
        <f>IF(AND(N132&lt;&gt;"", OR(N132=0, N132=1)), (J132-N132)^2, "")</f>
        <v/>
      </c>
      <c r="N132" t="n">
        <v>0</v>
      </c>
      <c r="O132">
        <f>IF(AND(N132&lt;&gt;"", OR(N132=0, N132=1)), IF(ROUND(H132,0)=N132, 1, 0), "")</f>
        <v/>
      </c>
    </row>
    <row r="133">
      <c r="A133" t="n">
        <v>20260177</v>
      </c>
      <c r="B133" t="inlineStr">
        <is>
          <t>2026-05-08</t>
        </is>
      </c>
      <c r="C133" t="inlineStr">
        <is>
          <t>키움</t>
        </is>
      </c>
      <c r="D133" t="inlineStr">
        <is>
          <t>KT</t>
        </is>
      </c>
      <c r="E133" t="n">
        <v>10001</v>
      </c>
      <c r="F133" t="n">
        <v>12001</v>
      </c>
      <c r="G133" t="n">
        <v>58.9</v>
      </c>
      <c r="H133" t="n">
        <v>0.5890249888776217</v>
      </c>
      <c r="I133" t="inlineStr">
        <is>
          <t>core_full</t>
        </is>
      </c>
      <c r="J133">
        <f>MAX(H133,1-H133)</f>
        <v/>
      </c>
      <c r="K133">
        <f>_xlfn.IFS(
J133&lt;=0.55,"50~55",
J133&lt;=0.6,"55~60",
J133&lt;=0.65,"60~65",
J133&lt;=0.7,"65~70",
TRUE,"70~100"
)</f>
        <v/>
      </c>
      <c r="L133">
        <f>IF(H133&gt;=0.5,"HOME","AWAY")</f>
        <v/>
      </c>
      <c r="M133">
        <f>IF(AND(N133&lt;&gt;"", OR(N133=0, N133=1)), (J133-N133)^2, "")</f>
        <v/>
      </c>
      <c r="N133" t="n">
        <v>0</v>
      </c>
      <c r="O133">
        <f>IF(AND(N133&lt;&gt;"", OR(N133=0, N133=1)), IF(ROUND(H133,0)=N133, 1, 0), "")</f>
        <v/>
      </c>
    </row>
    <row r="134">
      <c r="A134" t="n">
        <v>20260178</v>
      </c>
      <c r="B134" t="inlineStr">
        <is>
          <t>2026-05-08</t>
        </is>
      </c>
      <c r="C134" t="inlineStr">
        <is>
          <t>한화</t>
        </is>
      </c>
      <c r="D134" t="inlineStr">
        <is>
          <t>LG</t>
        </is>
      </c>
      <c r="E134" t="n">
        <v>7002</v>
      </c>
      <c r="F134" t="n">
        <v>5002</v>
      </c>
      <c r="G134" t="n">
        <v>48.08</v>
      </c>
      <c r="H134" t="n">
        <v>0.4808059722377918</v>
      </c>
      <c r="I134" t="inlineStr">
        <is>
          <t>core_full</t>
        </is>
      </c>
      <c r="J134">
        <f>MAX(H134,1-H134)</f>
        <v/>
      </c>
      <c r="K134">
        <f>_xlfn.IFS(
J134&lt;=0.55,"50~55",
J134&lt;=0.6,"55~60",
J134&lt;=0.65,"60~65",
J134&lt;=0.7,"65~70",
TRUE,"70~100"
)</f>
        <v/>
      </c>
      <c r="L134">
        <f>IF(H134&gt;=0.5,"HOME","AWAY")</f>
        <v/>
      </c>
      <c r="M134">
        <f>IF(AND(N134&lt;&gt;"", OR(N134=0, N134=1)), (J134-N134)^2, "")</f>
        <v/>
      </c>
      <c r="N134" t="n">
        <v>0</v>
      </c>
      <c r="O134">
        <f>IF(AND(N134&lt;&gt;"", OR(N134=0, N134=1)), IF(ROUND(H134,0)=N134, 1, 0), "")</f>
        <v/>
      </c>
    </row>
    <row r="135">
      <c r="A135" t="n">
        <v>20260179</v>
      </c>
      <c r="B135" t="inlineStr">
        <is>
          <t>2026-05-08</t>
        </is>
      </c>
      <c r="C135" t="inlineStr">
        <is>
          <t>롯데</t>
        </is>
      </c>
      <c r="D135" t="inlineStr">
        <is>
          <t>KIA</t>
        </is>
      </c>
      <c r="E135" t="n">
        <v>3001</v>
      </c>
      <c r="F135" t="n">
        <v>2002</v>
      </c>
      <c r="G135" t="n">
        <v>54.6</v>
      </c>
      <c r="H135" t="n">
        <v>0.5459514557994651</v>
      </c>
      <c r="I135" t="inlineStr">
        <is>
          <t>core_full</t>
        </is>
      </c>
      <c r="J135">
        <f>MAX(H135,1-H135)</f>
        <v/>
      </c>
      <c r="K135">
        <f>_xlfn.IFS(
J135&lt;=0.55,"50~55",
J135&lt;=0.6,"55~60",
J135&lt;=0.65,"60~65",
J135&lt;=0.7,"65~70",
TRUE,"70~100"
)</f>
        <v/>
      </c>
      <c r="L135">
        <f>IF(H135&gt;=0.5,"HOME","AWAY")</f>
        <v/>
      </c>
      <c r="M135">
        <f>IF(AND(N135&lt;&gt;"", OR(N135=0, N135=1)), (J135-N135)^2, "")</f>
        <v/>
      </c>
      <c r="N135" t="n">
        <v>0</v>
      </c>
      <c r="O135">
        <f>IF(AND(N135&lt;&gt;"", OR(N135=0, N135=1)), IF(ROUND(H135,0)=N135, 1, 0), "")</f>
        <v/>
      </c>
    </row>
    <row r="136">
      <c r="A136" t="n">
        <v>20260180</v>
      </c>
      <c r="B136" t="inlineStr">
        <is>
          <t>2026-05-08</t>
        </is>
      </c>
      <c r="C136" t="inlineStr">
        <is>
          <t>NC</t>
        </is>
      </c>
      <c r="D136" t="inlineStr">
        <is>
          <t>삼성</t>
        </is>
      </c>
      <c r="E136" t="n">
        <v>11001</v>
      </c>
      <c r="F136" t="n">
        <v>1001</v>
      </c>
      <c r="G136" t="n">
        <v>12.49</v>
      </c>
      <c r="H136" t="n">
        <v>0.1248703257666177</v>
      </c>
      <c r="I136" t="inlineStr">
        <is>
          <t>core_full</t>
        </is>
      </c>
      <c r="J136">
        <f>MAX(H136,1-H136)</f>
        <v/>
      </c>
      <c r="K136">
        <f>_xlfn.IFS(
J136&lt;=0.55,"50~55",
J136&lt;=0.6,"55~60",
J136&lt;=0.65,"60~65",
J136&lt;=0.7,"65~70",
TRUE,"70~100"
)</f>
        <v/>
      </c>
      <c r="L136">
        <f>IF(H136&gt;=0.5,"HOME","AWAY")</f>
        <v/>
      </c>
      <c r="M136">
        <f>IF(AND(N136&lt;&gt;"", OR(N136=0, N136=1)), (J136-N136)^2, "")</f>
        <v/>
      </c>
      <c r="N136" t="n">
        <v>0</v>
      </c>
      <c r="O136">
        <f>IF(AND(N136&lt;&gt;"", OR(N136=0, N136=1)), IF(ROUND(H136,0)=N136, 1, 0), "")</f>
        <v/>
      </c>
    </row>
    <row r="137">
      <c r="A137" t="n">
        <v>20260183</v>
      </c>
      <c r="B137" t="inlineStr">
        <is>
          <t>2026-05-09</t>
        </is>
      </c>
      <c r="C137" t="inlineStr">
        <is>
          <t>한화</t>
        </is>
      </c>
      <c r="D137" t="inlineStr">
        <is>
          <t>LG</t>
        </is>
      </c>
      <c r="E137" t="n">
        <v>7002</v>
      </c>
      <c r="F137" t="n">
        <v>5002</v>
      </c>
      <c r="G137" t="n">
        <v>57.31</v>
      </c>
      <c r="H137" t="n">
        <v>0.5730774157812031</v>
      </c>
      <c r="I137" t="inlineStr">
        <is>
          <t>core_sp</t>
        </is>
      </c>
      <c r="J137">
        <f>MAX(H137,1-H137)</f>
        <v/>
      </c>
      <c r="K137">
        <f>_xlfn.IFS(
J137&lt;=0.55,"50~55",
J137&lt;=0.6,"55~60",
J137&lt;=0.65,"60~65",
J137&lt;=0.7,"65~70",
TRUE,"70~100"
)</f>
        <v/>
      </c>
      <c r="L137">
        <f>IF(H137&gt;=0.5,"HOME","AWAY")</f>
        <v/>
      </c>
      <c r="M137">
        <f>IF(AND(N137&lt;&gt;"", OR(N137=0, N137=1)), (J137-N137)^2, "")</f>
        <v/>
      </c>
      <c r="N137" t="n">
        <v>1</v>
      </c>
      <c r="O137">
        <f>IF(AND(N137&lt;&gt;"", OR(N137=0, N137=1)), IF(ROUND(H137,0)=N137, 1, 0), "")</f>
        <v/>
      </c>
    </row>
    <row r="138">
      <c r="A138" t="n">
        <v>20260181</v>
      </c>
      <c r="B138" t="inlineStr">
        <is>
          <t>2026-05-09</t>
        </is>
      </c>
      <c r="C138" t="inlineStr">
        <is>
          <t>두산</t>
        </is>
      </c>
      <c r="D138" t="inlineStr">
        <is>
          <t>SSG</t>
        </is>
      </c>
      <c r="E138" t="n">
        <v>6002</v>
      </c>
      <c r="F138" t="n">
        <v>9002</v>
      </c>
      <c r="G138" t="n">
        <v>74.76000000000001</v>
      </c>
      <c r="H138" t="n">
        <v>0.7475767287770502</v>
      </c>
      <c r="I138" t="inlineStr">
        <is>
          <t>core_sp</t>
        </is>
      </c>
      <c r="J138">
        <f>MAX(H138,1-H138)</f>
        <v/>
      </c>
      <c r="K138">
        <f>_xlfn.IFS(
J138&lt;=0.55,"50~55",
J138&lt;=0.6,"55~60",
J138&lt;=0.65,"60~65",
J138&lt;=0.7,"65~70",
TRUE,"70~100"
)</f>
        <v/>
      </c>
      <c r="L138">
        <f>IF(H138&gt;=0.5,"HOME","AWAY")</f>
        <v/>
      </c>
      <c r="M138">
        <f>IF(AND(N138&lt;&gt;"", OR(N138=0, N138=1)), (J138-N138)^2, "")</f>
        <v/>
      </c>
      <c r="N138" t="n">
        <v>1</v>
      </c>
      <c r="O138">
        <f>IF(AND(N138&lt;&gt;"", OR(N138=0, N138=1)), IF(ROUND(H138,0)=N138, 1, 0), "")</f>
        <v/>
      </c>
    </row>
    <row r="139">
      <c r="A139" t="n">
        <v>20260182</v>
      </c>
      <c r="B139" t="inlineStr">
        <is>
          <t>2026-05-09</t>
        </is>
      </c>
      <c r="C139" t="inlineStr">
        <is>
          <t>키움</t>
        </is>
      </c>
      <c r="D139" t="inlineStr">
        <is>
          <t>KT</t>
        </is>
      </c>
      <c r="E139" t="n">
        <v>10001</v>
      </c>
      <c r="F139" t="n">
        <v>12001</v>
      </c>
      <c r="G139" t="n">
        <v>44.53</v>
      </c>
      <c r="H139" t="n">
        <v>0.4452695564889879</v>
      </c>
      <c r="I139" t="inlineStr">
        <is>
          <t>core_sp</t>
        </is>
      </c>
      <c r="J139">
        <f>MAX(H139,1-H139)</f>
        <v/>
      </c>
      <c r="K139">
        <f>_xlfn.IFS(
J139&lt;=0.55,"50~55",
J139&lt;=0.6,"55~60",
J139&lt;=0.65,"60~65",
J139&lt;=0.7,"65~70",
TRUE,"70~100"
)</f>
        <v/>
      </c>
      <c r="L139">
        <f>IF(H139&gt;=0.5,"HOME","AWAY")</f>
        <v/>
      </c>
      <c r="M139">
        <f>IF(AND(N139&lt;&gt;"", OR(N139=0, N139=1)), (J139-N139)^2, "")</f>
        <v/>
      </c>
      <c r="N139" t="inlineStr">
        <is>
          <t>draw</t>
        </is>
      </c>
      <c r="O139">
        <f>IF(AND(N139&lt;&gt;"", OR(N139=0, N139=1)), IF(ROUND(H139,0)=N139, 1, 0), "")</f>
        <v/>
      </c>
    </row>
    <row r="140">
      <c r="A140" t="n">
        <v>20260184</v>
      </c>
      <c r="B140" t="inlineStr">
        <is>
          <t>2026-05-09</t>
        </is>
      </c>
      <c r="C140" t="inlineStr">
        <is>
          <t>롯데</t>
        </is>
      </c>
      <c r="D140" t="inlineStr">
        <is>
          <t>KIA</t>
        </is>
      </c>
      <c r="E140" t="n">
        <v>3001</v>
      </c>
      <c r="F140" t="n">
        <v>2002</v>
      </c>
      <c r="G140" t="n">
        <v>68.41</v>
      </c>
      <c r="H140" t="n">
        <v>0.6841356129297628</v>
      </c>
      <c r="I140" t="inlineStr">
        <is>
          <t>core_sp</t>
        </is>
      </c>
      <c r="J140">
        <f>MAX(H140,1-H140)</f>
        <v/>
      </c>
      <c r="K140">
        <f>_xlfn.IFS(
J140&lt;=0.55,"50~55",
J140&lt;=0.6,"55~60",
J140&lt;=0.65,"60~65",
J140&lt;=0.7,"65~70",
TRUE,"70~100"
)</f>
        <v/>
      </c>
      <c r="L140">
        <f>IF(H140&gt;=0.5,"HOME","AWAY")</f>
        <v/>
      </c>
      <c r="M140">
        <f>IF(AND(N140&lt;&gt;"", OR(N140=0, N140=1)), (J140-N140)^2, "")</f>
        <v/>
      </c>
      <c r="N140" t="n">
        <v>0</v>
      </c>
      <c r="O140">
        <f>IF(AND(N140&lt;&gt;"", OR(N140=0, N140=1)), IF(ROUND(H140,0)=N140, 1, 0), "")</f>
        <v/>
      </c>
    </row>
    <row r="141">
      <c r="A141" t="n">
        <v>20260185</v>
      </c>
      <c r="B141" t="inlineStr">
        <is>
          <t>2026-05-09</t>
        </is>
      </c>
      <c r="C141" t="inlineStr">
        <is>
          <t>NC</t>
        </is>
      </c>
      <c r="D141" t="inlineStr">
        <is>
          <t>삼성</t>
        </is>
      </c>
      <c r="E141" t="n">
        <v>11001</v>
      </c>
      <c r="F141" t="n">
        <v>1001</v>
      </c>
      <c r="G141" t="n">
        <v>29.31</v>
      </c>
      <c r="H141" t="n">
        <v>0.2930659056459851</v>
      </c>
      <c r="I141" t="inlineStr">
        <is>
          <t>core_sp</t>
        </is>
      </c>
      <c r="J141">
        <f>MAX(H141,1-H141)</f>
        <v/>
      </c>
      <c r="K141">
        <f>_xlfn.IFS(
J141&lt;=0.55,"50~55",
J141&lt;=0.6,"55~60",
J141&lt;=0.65,"60~65",
J141&lt;=0.7,"65~70",
TRUE,"70~100"
)</f>
        <v/>
      </c>
      <c r="L141">
        <f>IF(H141&gt;=0.5,"HOME","AWAY")</f>
        <v/>
      </c>
      <c r="M141">
        <f>IF(AND(N141&lt;&gt;"", OR(N141=0, N141=1)), (J141-N141)^2, "")</f>
        <v/>
      </c>
      <c r="N141" t="n">
        <v>0</v>
      </c>
      <c r="O141">
        <f>IF(AND(N141&lt;&gt;"", OR(N141=0, N141=1)), IF(ROUND(H141,0)=N141, 1, 0), "")</f>
        <v/>
      </c>
    </row>
    <row r="142">
      <c r="A142" t="n">
        <v>20260186</v>
      </c>
      <c r="B142" t="inlineStr">
        <is>
          <t>2026-05-10</t>
        </is>
      </c>
      <c r="C142" t="inlineStr">
        <is>
          <t>두산</t>
        </is>
      </c>
      <c r="D142" t="inlineStr">
        <is>
          <t>SSG</t>
        </is>
      </c>
      <c r="E142" t="n">
        <v>6002</v>
      </c>
      <c r="F142" t="n">
        <v>9002</v>
      </c>
      <c r="G142" t="n">
        <v>61.8</v>
      </c>
      <c r="H142" t="n">
        <v>0.6180274879088768</v>
      </c>
      <c r="I142" t="inlineStr">
        <is>
          <t>core_full</t>
        </is>
      </c>
      <c r="J142">
        <f>MAX(H142,1-H142)</f>
        <v/>
      </c>
      <c r="K142">
        <f>_xlfn.IFS(
J142&lt;=0.55,"50~55",
J142&lt;=0.6,"55~60",
J142&lt;=0.65,"60~65",
J142&lt;=0.7,"65~70",
TRUE,"70~100"
)</f>
        <v/>
      </c>
      <c r="L142">
        <f>IF(H142&gt;=0.5,"HOME","AWAY")</f>
        <v/>
      </c>
      <c r="M142">
        <f>IF(AND(N142&lt;&gt;"", OR(N142=0, N142=1)), (J142-N142)^2, "")</f>
        <v/>
      </c>
      <c r="N142" t="n">
        <v>1</v>
      </c>
      <c r="O142">
        <f>IF(AND(N142&lt;&gt;"", OR(N142=0, N142=1)), IF(ROUND(H142,0)=N142, 1, 0), "")</f>
        <v/>
      </c>
    </row>
    <row r="143">
      <c r="A143" t="n">
        <v>20260187</v>
      </c>
      <c r="B143" t="inlineStr">
        <is>
          <t>2026-05-10</t>
        </is>
      </c>
      <c r="C143" t="inlineStr">
        <is>
          <t>키움</t>
        </is>
      </c>
      <c r="D143" t="inlineStr">
        <is>
          <t>KT</t>
        </is>
      </c>
      <c r="E143" t="n">
        <v>10001</v>
      </c>
      <c r="F143" t="n">
        <v>12001</v>
      </c>
      <c r="G143" t="n">
        <v>26.63</v>
      </c>
      <c r="H143" t="n">
        <v>0.2662736548573697</v>
      </c>
      <c r="I143" t="inlineStr">
        <is>
          <t>core_full</t>
        </is>
      </c>
      <c r="J143">
        <f>MAX(H143,1-H143)</f>
        <v/>
      </c>
      <c r="K143">
        <f>_xlfn.IFS(
J143&lt;=0.55,"50~55",
J143&lt;=0.6,"55~60",
J143&lt;=0.65,"60~65",
J143&lt;=0.7,"65~70",
TRUE,"70~100"
)</f>
        <v/>
      </c>
      <c r="L143">
        <f>IF(H143&gt;=0.5,"HOME","AWAY")</f>
        <v/>
      </c>
      <c r="M143">
        <f>IF(AND(N143&lt;&gt;"", OR(N143=0, N143=1)), (J143-N143)^2, "")</f>
        <v/>
      </c>
      <c r="N143" t="n">
        <v>1</v>
      </c>
      <c r="O143">
        <f>IF(AND(N143&lt;&gt;"", OR(N143=0, N143=1)), IF(ROUND(H143,0)=N143, 1, 0), "")</f>
        <v/>
      </c>
    </row>
    <row r="144">
      <c r="A144" t="n">
        <v>20260188</v>
      </c>
      <c r="B144" t="inlineStr">
        <is>
          <t>2026-05-10</t>
        </is>
      </c>
      <c r="C144" t="inlineStr">
        <is>
          <t>한화</t>
        </is>
      </c>
      <c r="D144" t="inlineStr">
        <is>
          <t>LG</t>
        </is>
      </c>
      <c r="E144" t="n">
        <v>7002</v>
      </c>
      <c r="F144" t="n">
        <v>5002</v>
      </c>
      <c r="G144" t="n">
        <v>38.69</v>
      </c>
      <c r="H144" t="n">
        <v>0.3868930022625142</v>
      </c>
      <c r="I144" t="inlineStr">
        <is>
          <t>core_full</t>
        </is>
      </c>
      <c r="J144">
        <f>MAX(H144,1-H144)</f>
        <v/>
      </c>
      <c r="K144">
        <f>_xlfn.IFS(
J144&lt;=0.55,"50~55",
J144&lt;=0.6,"55~60",
J144&lt;=0.65,"60~65",
J144&lt;=0.7,"65~70",
TRUE,"70~100"
)</f>
        <v/>
      </c>
      <c r="L144">
        <f>IF(H144&gt;=0.5,"HOME","AWAY")</f>
        <v/>
      </c>
      <c r="M144">
        <f>IF(AND(N144&lt;&gt;"", OR(N144=0, N144=1)), (J144-N144)^2, "")</f>
        <v/>
      </c>
      <c r="N144" t="n">
        <v>1</v>
      </c>
      <c r="O144">
        <f>IF(AND(N144&lt;&gt;"", OR(N144=0, N144=1)), IF(ROUND(H144,0)=N144, 1, 0), "")</f>
        <v/>
      </c>
    </row>
    <row r="145">
      <c r="A145" t="n">
        <v>20260189</v>
      </c>
      <c r="B145" t="inlineStr">
        <is>
          <t>2026-05-10</t>
        </is>
      </c>
      <c r="C145" t="inlineStr">
        <is>
          <t>롯데</t>
        </is>
      </c>
      <c r="D145" t="inlineStr">
        <is>
          <t>KIA</t>
        </is>
      </c>
      <c r="E145" t="n">
        <v>3001</v>
      </c>
      <c r="F145" t="n">
        <v>2002</v>
      </c>
      <c r="G145" t="n">
        <v>54.02</v>
      </c>
      <c r="H145" t="n">
        <v>0.5402259102607809</v>
      </c>
      <c r="I145" t="inlineStr">
        <is>
          <t>core_full</t>
        </is>
      </c>
      <c r="J145">
        <f>MAX(H145,1-H145)</f>
        <v/>
      </c>
      <c r="K145">
        <f>_xlfn.IFS(
J145&lt;=0.55,"50~55",
J145&lt;=0.6,"55~60",
J145&lt;=0.65,"60~65",
J145&lt;=0.7,"65~70",
TRUE,"70~100"
)</f>
        <v/>
      </c>
      <c r="L145">
        <f>IF(H145&gt;=0.5,"HOME","AWAY")</f>
        <v/>
      </c>
      <c r="M145">
        <f>IF(AND(N145&lt;&gt;"", OR(N145=0, N145=1)), (J145-N145)^2, "")</f>
        <v/>
      </c>
      <c r="N145" t="n">
        <v>1</v>
      </c>
      <c r="O145">
        <f>IF(AND(N145&lt;&gt;"", OR(N145=0, N145=1)), IF(ROUND(H145,0)=N145, 1, 0), "")</f>
        <v/>
      </c>
    </row>
    <row r="146">
      <c r="A146" t="n">
        <v>20260190</v>
      </c>
      <c r="B146" t="inlineStr">
        <is>
          <t>2026-05-10</t>
        </is>
      </c>
      <c r="C146" t="inlineStr">
        <is>
          <t>NC</t>
        </is>
      </c>
      <c r="D146" t="inlineStr">
        <is>
          <t>삼성</t>
        </is>
      </c>
      <c r="E146" t="n">
        <v>11001</v>
      </c>
      <c r="F146" t="n">
        <v>1001</v>
      </c>
      <c r="G146" t="n">
        <v>19.79</v>
      </c>
      <c r="H146" t="n">
        <v>0.1979181508787887</v>
      </c>
      <c r="I146" t="inlineStr">
        <is>
          <t>core_full</t>
        </is>
      </c>
      <c r="J146">
        <f>MAX(H146,1-H146)</f>
        <v/>
      </c>
      <c r="K146">
        <f>_xlfn.IFS(
J146&lt;=0.55,"50~55",
J146&lt;=0.6,"55~60",
J146&lt;=0.65,"60~65",
J146&lt;=0.7,"65~70",
TRUE,"70~100"
)</f>
        <v/>
      </c>
      <c r="L146">
        <f>IF(H146&gt;=0.5,"HOME","AWAY")</f>
        <v/>
      </c>
      <c r="M146">
        <f>IF(AND(N146&lt;&gt;"", OR(N146=0, N146=1)), (J146-N146)^2, "")</f>
        <v/>
      </c>
      <c r="N146" t="n">
        <v>0</v>
      </c>
      <c r="O146">
        <f>IF(AND(N146&lt;&gt;"", OR(N146=0, N146=1)), IF(ROUND(H146,0)=N146, 1, 0), "")</f>
        <v/>
      </c>
    </row>
    <row r="147">
      <c r="A147" t="n">
        <v>20260191</v>
      </c>
      <c r="B147" t="inlineStr">
        <is>
          <t>2026-05-12</t>
        </is>
      </c>
      <c r="C147" t="inlineStr">
        <is>
          <t>LG</t>
        </is>
      </c>
      <c r="D147" t="inlineStr">
        <is>
          <t>삼성</t>
        </is>
      </c>
      <c r="E147" t="n">
        <v>5002</v>
      </c>
      <c r="F147" t="n">
        <v>1001</v>
      </c>
      <c r="G147" t="n">
        <v>27.68</v>
      </c>
      <c r="H147" t="n">
        <v>0.2768035218009341</v>
      </c>
      <c r="I147" t="inlineStr">
        <is>
          <t>core_full</t>
        </is>
      </c>
      <c r="J147">
        <f>MAX(H147,1-H147)</f>
        <v/>
      </c>
      <c r="K147">
        <f>_xlfn.IFS(
J147&lt;=0.55,"50~55",
J147&lt;=0.6,"55~60",
J147&lt;=0.65,"60~65",
J147&lt;=0.7,"65~70",
TRUE,"70~100"
)</f>
        <v/>
      </c>
      <c r="L147">
        <f>IF(H147&gt;=0.5,"HOME","AWAY")</f>
        <v/>
      </c>
      <c r="M147">
        <f>IF(AND(N147&lt;&gt;"", OR(N147=0, N147=1)), (J147-N147)^2, "")</f>
        <v/>
      </c>
      <c r="N147" t="n">
        <v>0</v>
      </c>
      <c r="O147">
        <f>IF(AND(N147&lt;&gt;"", OR(N147=0, N147=1)), IF(ROUND(H147,0)=N147, 1, 0), "")</f>
        <v/>
      </c>
    </row>
    <row r="148">
      <c r="A148" t="n">
        <v>20260192</v>
      </c>
      <c r="B148" t="inlineStr">
        <is>
          <t>2026-05-12</t>
        </is>
      </c>
      <c r="C148" t="inlineStr">
        <is>
          <t>키움</t>
        </is>
      </c>
      <c r="D148" t="inlineStr">
        <is>
          <t>한화</t>
        </is>
      </c>
      <c r="E148" t="n">
        <v>10001</v>
      </c>
      <c r="F148" t="n">
        <v>7002</v>
      </c>
      <c r="G148" t="n">
        <v>23.9</v>
      </c>
      <c r="H148" t="n">
        <v>0.2389945904564815</v>
      </c>
      <c r="I148" t="inlineStr">
        <is>
          <t>core_full</t>
        </is>
      </c>
      <c r="J148">
        <f>MAX(H148,1-H148)</f>
        <v/>
      </c>
      <c r="K148">
        <f>_xlfn.IFS(
J148&lt;=0.55,"50~55",
J148&lt;=0.6,"55~60",
J148&lt;=0.65,"60~65",
J148&lt;=0.7,"65~70",
TRUE,"70~100"
)</f>
        <v/>
      </c>
      <c r="L148">
        <f>IF(H148&gt;=0.5,"HOME","AWAY")</f>
        <v/>
      </c>
      <c r="M148">
        <f>IF(AND(N148&lt;&gt;"", OR(N148=0, N148=1)), (J148-N148)^2, "")</f>
        <v/>
      </c>
      <c r="N148" t="n">
        <v>0</v>
      </c>
      <c r="O148">
        <f>IF(AND(N148&lt;&gt;"", OR(N148=0, N148=1)), IF(ROUND(H148,0)=N148, 1, 0), "")</f>
        <v/>
      </c>
    </row>
    <row r="149">
      <c r="A149" t="n">
        <v>20260193</v>
      </c>
      <c r="B149" t="inlineStr">
        <is>
          <t>2026-05-12</t>
        </is>
      </c>
      <c r="C149" t="inlineStr">
        <is>
          <t>KT</t>
        </is>
      </c>
      <c r="D149" t="inlineStr">
        <is>
          <t>SSG</t>
        </is>
      </c>
      <c r="E149" t="n">
        <v>12001</v>
      </c>
      <c r="F149" t="n">
        <v>9002</v>
      </c>
      <c r="G149" t="n">
        <v>54.78</v>
      </c>
      <c r="H149" t="n">
        <v>0.5477922038294649</v>
      </c>
      <c r="I149" t="inlineStr">
        <is>
          <t>core_full</t>
        </is>
      </c>
      <c r="J149">
        <f>MAX(H149,1-H149)</f>
        <v/>
      </c>
      <c r="K149">
        <f>_xlfn.IFS(
J149&lt;=0.55,"50~55",
J149&lt;=0.6,"55~60",
J149&lt;=0.65,"60~65",
J149&lt;=0.7,"65~70",
TRUE,"70~100"
)</f>
        <v/>
      </c>
      <c r="L149">
        <f>IF(H149&gt;=0.5,"HOME","AWAY")</f>
        <v/>
      </c>
      <c r="M149">
        <f>IF(AND(N149&lt;&gt;"", OR(N149=0, N149=1)), (J149-N149)^2, "")</f>
        <v/>
      </c>
      <c r="N149" t="n">
        <v>0</v>
      </c>
      <c r="O149">
        <f>IF(AND(N149&lt;&gt;"", OR(N149=0, N149=1)), IF(ROUND(H149,0)=N149, 1, 0), "")</f>
        <v/>
      </c>
    </row>
    <row r="150">
      <c r="A150" t="n">
        <v>20260194</v>
      </c>
      <c r="B150" t="inlineStr">
        <is>
          <t>2026-05-12</t>
        </is>
      </c>
      <c r="C150" t="inlineStr">
        <is>
          <t>KIA</t>
        </is>
      </c>
      <c r="D150" t="inlineStr">
        <is>
          <t>두산</t>
        </is>
      </c>
      <c r="E150" t="n">
        <v>2002</v>
      </c>
      <c r="F150" t="n">
        <v>6002</v>
      </c>
      <c r="G150" t="n">
        <v>69.68000000000001</v>
      </c>
      <c r="H150" t="n">
        <v>0.6968124137197284</v>
      </c>
      <c r="I150" t="inlineStr">
        <is>
          <t>core_full</t>
        </is>
      </c>
      <c r="J150">
        <f>MAX(H150,1-H150)</f>
        <v/>
      </c>
      <c r="K150">
        <f>_xlfn.IFS(
J150&lt;=0.55,"50~55",
J150&lt;=0.6,"55~60",
J150&lt;=0.65,"60~65",
J150&lt;=0.7,"65~70",
TRUE,"70~100"
)</f>
        <v/>
      </c>
      <c r="L150">
        <f>IF(H150&gt;=0.5,"HOME","AWAY")</f>
        <v/>
      </c>
      <c r="M150">
        <f>IF(AND(N150&lt;&gt;"", OR(N150=0, N150=1)), (J150-N150)^2, "")</f>
        <v/>
      </c>
      <c r="N150" t="n">
        <v>0</v>
      </c>
      <c r="O150">
        <f>IF(AND(N150&lt;&gt;"", OR(N150=0, N150=1)), IF(ROUND(H150,0)=N150, 1, 0), "")</f>
        <v/>
      </c>
    </row>
    <row r="151">
      <c r="A151" t="n">
        <v>20260195</v>
      </c>
      <c r="B151" t="inlineStr">
        <is>
          <t>2026-05-12</t>
        </is>
      </c>
      <c r="C151" t="inlineStr">
        <is>
          <t>롯데</t>
        </is>
      </c>
      <c r="D151" t="inlineStr">
        <is>
          <t>NC</t>
        </is>
      </c>
      <c r="E151" t="n">
        <v>3001</v>
      </c>
      <c r="F151" t="n">
        <v>11001</v>
      </c>
      <c r="G151" t="n">
        <v>66.65000000000001</v>
      </c>
      <c r="H151" t="n">
        <v>0.6665128669305967</v>
      </c>
      <c r="I151" t="inlineStr">
        <is>
          <t>core_full</t>
        </is>
      </c>
      <c r="J151">
        <f>MAX(H151,1-H151)</f>
        <v/>
      </c>
      <c r="K151">
        <f>_xlfn.IFS(
J151&lt;=0.55,"50~55",
J151&lt;=0.6,"55~60",
J151&lt;=0.65,"60~65",
J151&lt;=0.7,"65~70",
TRUE,"70~100"
)</f>
        <v/>
      </c>
      <c r="L151">
        <f>IF(H151&gt;=0.5,"HOME","AWAY")</f>
        <v/>
      </c>
      <c r="M151">
        <f>IF(AND(N151&lt;&gt;"", OR(N151=0, N151=1)), (J151-N151)^2, "")</f>
        <v/>
      </c>
      <c r="N151" t="n">
        <v>0</v>
      </c>
      <c r="O151">
        <f>IF(AND(N151&lt;&gt;"", OR(N151=0, N151=1)), IF(ROUND(H151,0)=N151, 1, 0), "")</f>
        <v/>
      </c>
    </row>
    <row r="152">
      <c r="A152" t="n">
        <v>20260196</v>
      </c>
      <c r="B152" t="inlineStr">
        <is>
          <t>2026-05-13</t>
        </is>
      </c>
      <c r="C152" t="inlineStr">
        <is>
          <t>LG</t>
        </is>
      </c>
      <c r="D152" t="inlineStr">
        <is>
          <t>삼성</t>
        </is>
      </c>
      <c r="E152" t="n">
        <v>5002</v>
      </c>
      <c r="F152" t="n">
        <v>1001</v>
      </c>
      <c r="G152" t="n">
        <v>35.47</v>
      </c>
      <c r="H152" t="n">
        <v>0.354738519591365</v>
      </c>
      <c r="I152" t="inlineStr">
        <is>
          <t>core_sp</t>
        </is>
      </c>
      <c r="J152">
        <f>MAX(H152,1-H152)</f>
        <v/>
      </c>
      <c r="K152">
        <f>_xlfn.IFS(
J152&lt;=0.55,"50~55",
J152&lt;=0.6,"55~60",
J152&lt;=0.65,"60~65",
J152&lt;=0.7,"65~70",
TRUE,"70~100"
)</f>
        <v/>
      </c>
      <c r="L152">
        <f>IF(H152&gt;=0.5,"HOME","AWAY")</f>
        <v/>
      </c>
      <c r="M152">
        <f>IF(AND(N152&lt;&gt;"", OR(N152=0, N152=1)), (J152-N152)^2, "")</f>
        <v/>
      </c>
      <c r="N152" t="n">
        <v>1</v>
      </c>
      <c r="O152">
        <f>IF(AND(N152&lt;&gt;"", OR(N152=0, N152=1)), IF(ROUND(H152,0)=N152, 1, 0), "")</f>
        <v/>
      </c>
    </row>
    <row r="153">
      <c r="A153" t="n">
        <v>20260197</v>
      </c>
      <c r="B153" t="inlineStr">
        <is>
          <t>2026-05-13</t>
        </is>
      </c>
      <c r="C153" t="inlineStr">
        <is>
          <t>키움</t>
        </is>
      </c>
      <c r="D153" t="inlineStr">
        <is>
          <t>한화</t>
        </is>
      </c>
      <c r="E153" t="n">
        <v>10001</v>
      </c>
      <c r="F153" t="n">
        <v>7002</v>
      </c>
      <c r="G153" t="n">
        <v>52.26</v>
      </c>
      <c r="H153" t="n">
        <v>0.5225991968416961</v>
      </c>
      <c r="I153" t="inlineStr">
        <is>
          <t>core_sp</t>
        </is>
      </c>
      <c r="J153">
        <f>MAX(H153,1-H153)</f>
        <v/>
      </c>
      <c r="K153">
        <f>_xlfn.IFS(
J153&lt;=0.55,"50~55",
J153&lt;=0.6,"55~60",
J153&lt;=0.65,"60~65",
J153&lt;=0.7,"65~70",
TRUE,"70~100"
)</f>
        <v/>
      </c>
      <c r="L153">
        <f>IF(H153&gt;=0.5,"HOME","AWAY")</f>
        <v/>
      </c>
      <c r="M153">
        <f>IF(AND(N153&lt;&gt;"", OR(N153=0, N153=1)), (J153-N153)^2, "")</f>
        <v/>
      </c>
      <c r="N153" t="n">
        <v>1</v>
      </c>
      <c r="O153">
        <f>IF(AND(N153&lt;&gt;"", OR(N153=0, N153=1)), IF(ROUND(H153,0)=N153, 1, 0), "")</f>
        <v/>
      </c>
    </row>
    <row r="154">
      <c r="A154" t="n">
        <v>20260198</v>
      </c>
      <c r="B154" t="inlineStr">
        <is>
          <t>2026-05-13</t>
        </is>
      </c>
      <c r="C154" t="inlineStr">
        <is>
          <t>KT</t>
        </is>
      </c>
      <c r="D154" t="inlineStr">
        <is>
          <t>SSG</t>
        </is>
      </c>
      <c r="E154" t="n">
        <v>12001</v>
      </c>
      <c r="F154" t="n">
        <v>9002</v>
      </c>
      <c r="G154" t="n">
        <v>66.81999999999999</v>
      </c>
      <c r="H154" t="n">
        <v>0.6681551578999807</v>
      </c>
      <c r="I154" t="inlineStr">
        <is>
          <t>core_sp</t>
        </is>
      </c>
      <c r="J154">
        <f>MAX(H154,1-H154)</f>
        <v/>
      </c>
      <c r="K154">
        <f>_xlfn.IFS(
J154&lt;=0.55,"50~55",
J154&lt;=0.6,"55~60",
J154&lt;=0.65,"60~65",
J154&lt;=0.7,"65~70",
TRUE,"70~100"
)</f>
        <v/>
      </c>
      <c r="L154">
        <f>IF(H154&gt;=0.5,"HOME","AWAY")</f>
        <v/>
      </c>
      <c r="M154">
        <f>IF(AND(N154&lt;&gt;"", OR(N154=0, N154=1)), (J154-N154)^2, "")</f>
        <v/>
      </c>
      <c r="N154" t="n">
        <v>1</v>
      </c>
      <c r="O154">
        <f>IF(AND(N154&lt;&gt;"", OR(N154=0, N154=1)), IF(ROUND(H154,0)=N154, 1, 0), "")</f>
        <v/>
      </c>
    </row>
    <row r="155">
      <c r="A155" t="n">
        <v>20260199</v>
      </c>
      <c r="B155" t="inlineStr">
        <is>
          <t>2026-05-13</t>
        </is>
      </c>
      <c r="C155" t="inlineStr">
        <is>
          <t>KIA</t>
        </is>
      </c>
      <c r="D155" t="inlineStr">
        <is>
          <t>두산</t>
        </is>
      </c>
      <c r="E155" t="n">
        <v>2002</v>
      </c>
      <c r="F155" t="n">
        <v>6002</v>
      </c>
      <c r="G155" t="n">
        <v>20.28</v>
      </c>
      <c r="H155" t="n">
        <v>0.2028255799409134</v>
      </c>
      <c r="I155" t="inlineStr">
        <is>
          <t>core_sp</t>
        </is>
      </c>
      <c r="J155">
        <f>MAX(H155,1-H155)</f>
        <v/>
      </c>
      <c r="K155">
        <f>_xlfn.IFS(
J155&lt;=0.55,"50~55",
J155&lt;=0.6,"55~60",
J155&lt;=0.65,"60~65",
J155&lt;=0.7,"65~70",
TRUE,"70~100"
)</f>
        <v/>
      </c>
      <c r="L155">
        <f>IF(H155&gt;=0.5,"HOME","AWAY")</f>
        <v/>
      </c>
      <c r="M155">
        <f>IF(AND(N155&lt;&gt;"", OR(N155=0, N155=1)), (J155-N155)^2, "")</f>
        <v/>
      </c>
      <c r="N155" t="n">
        <v>1</v>
      </c>
      <c r="O155">
        <f>IF(AND(N155&lt;&gt;"", OR(N155=0, N155=1)), IF(ROUND(H155,0)=N155, 1, 0), "")</f>
        <v/>
      </c>
    </row>
    <row r="156">
      <c r="A156" t="n">
        <v>20260200</v>
      </c>
      <c r="B156" t="inlineStr">
        <is>
          <t>2026-05-13</t>
        </is>
      </c>
      <c r="C156" t="inlineStr">
        <is>
          <t>롯데</t>
        </is>
      </c>
      <c r="D156" t="inlineStr">
        <is>
          <t>NC</t>
        </is>
      </c>
      <c r="E156" t="n">
        <v>3001</v>
      </c>
      <c r="F156" t="n">
        <v>11001</v>
      </c>
      <c r="G156" t="n">
        <v>69.78</v>
      </c>
      <c r="H156" t="n">
        <v>0.6977748647329215</v>
      </c>
      <c r="I156" t="inlineStr">
        <is>
          <t>core_sp</t>
        </is>
      </c>
      <c r="J156">
        <f>MAX(H156,1-H156)</f>
        <v/>
      </c>
      <c r="K156">
        <f>_xlfn.IFS(
J156&lt;=0.55,"50~55",
J156&lt;=0.6,"55~60",
J156&lt;=0.65,"60~65",
J156&lt;=0.7,"65~70",
TRUE,"70~100"
)</f>
        <v/>
      </c>
      <c r="L156">
        <f>IF(H156&gt;=0.5,"HOME","AWAY")</f>
        <v/>
      </c>
      <c r="M156">
        <f>IF(AND(N156&lt;&gt;"", OR(N156=0, N156=1)), (J156-N156)^2, "")</f>
        <v/>
      </c>
      <c r="N156" t="n">
        <v>1</v>
      </c>
      <c r="O156">
        <f>IF(AND(N156&lt;&gt;"", OR(N156=0, N156=1)), IF(ROUND(H156,0)=N156, 1, 0), "")</f>
        <v/>
      </c>
    </row>
    <row r="157">
      <c r="A157" t="n">
        <v>20260201</v>
      </c>
      <c r="B157" t="inlineStr">
        <is>
          <t>2026-05-14</t>
        </is>
      </c>
      <c r="C157" t="inlineStr">
        <is>
          <t>LG</t>
        </is>
      </c>
      <c r="D157" t="inlineStr">
        <is>
          <t>삼성</t>
        </is>
      </c>
      <c r="E157" t="n">
        <v>5002</v>
      </c>
      <c r="F157" t="n">
        <v>1001</v>
      </c>
      <c r="G157" t="n">
        <v>37.72</v>
      </c>
      <c r="H157" t="n">
        <v>0.3772108581968189</v>
      </c>
      <c r="I157" t="inlineStr">
        <is>
          <t>core_full</t>
        </is>
      </c>
      <c r="J157">
        <f>MAX(H157,1-H157)</f>
        <v/>
      </c>
      <c r="K157">
        <f>_xlfn.IFS(
J157&lt;=0.55,"50~55",
J157&lt;=0.6,"55~60",
J157&lt;=0.65,"60~65",
J157&lt;=0.7,"65~70",
TRUE,"70~100"
)</f>
        <v/>
      </c>
      <c r="L157">
        <f>IF(H157&gt;=0.5,"HOME","AWAY")</f>
        <v/>
      </c>
      <c r="M157">
        <f>IF(AND(N157&lt;&gt;"", OR(N157=0, N157=1)), (J157-N157)^2, "")</f>
        <v/>
      </c>
      <c r="N157" t="n">
        <v>0</v>
      </c>
      <c r="O157">
        <f>IF(AND(N157&lt;&gt;"", OR(N157=0, N157=1)), IF(ROUND(H157,0)=N157, 1, 0), "")</f>
        <v/>
      </c>
    </row>
    <row r="158">
      <c r="A158" t="n">
        <v>20260202</v>
      </c>
      <c r="B158" t="inlineStr">
        <is>
          <t>2026-05-14</t>
        </is>
      </c>
      <c r="C158" t="inlineStr">
        <is>
          <t>키움</t>
        </is>
      </c>
      <c r="D158" t="inlineStr">
        <is>
          <t>한화</t>
        </is>
      </c>
      <c r="E158" t="n">
        <v>10001</v>
      </c>
      <c r="F158" t="n">
        <v>7002</v>
      </c>
      <c r="G158" t="n">
        <v>42.7</v>
      </c>
      <c r="H158" t="n">
        <v>0.4270204579887192</v>
      </c>
      <c r="I158" t="inlineStr">
        <is>
          <t>core_full</t>
        </is>
      </c>
      <c r="J158">
        <f>MAX(H158,1-H158)</f>
        <v/>
      </c>
      <c r="K158">
        <f>_xlfn.IFS(
J158&lt;=0.55,"50~55",
J158&lt;=0.6,"55~60",
J158&lt;=0.65,"60~65",
J158&lt;=0.7,"65~70",
TRUE,"70~100"
)</f>
        <v/>
      </c>
      <c r="L158">
        <f>IF(H158&gt;=0.5,"HOME","AWAY")</f>
        <v/>
      </c>
      <c r="M158">
        <f>IF(AND(N158&lt;&gt;"", OR(N158=0, N158=1)), (J158-N158)^2, "")</f>
        <v/>
      </c>
      <c r="N158" t="n">
        <v>0</v>
      </c>
      <c r="O158">
        <f>IF(AND(N158&lt;&gt;"", OR(N158=0, N158=1)), IF(ROUND(H158,0)=N158, 1, 0), "")</f>
        <v/>
      </c>
    </row>
    <row r="159">
      <c r="A159" t="n">
        <v>20260203</v>
      </c>
      <c r="B159" t="inlineStr">
        <is>
          <t>2026-05-14</t>
        </is>
      </c>
      <c r="C159" t="inlineStr">
        <is>
          <t>KT</t>
        </is>
      </c>
      <c r="D159" t="inlineStr">
        <is>
          <t>SSG</t>
        </is>
      </c>
      <c r="E159" t="n">
        <v>12001</v>
      </c>
      <c r="F159" t="n">
        <v>9002</v>
      </c>
      <c r="G159" t="n">
        <v>63.06</v>
      </c>
      <c r="H159" t="n">
        <v>0.6305700596707641</v>
      </c>
      <c r="I159" t="inlineStr">
        <is>
          <t>core_full</t>
        </is>
      </c>
      <c r="J159">
        <f>MAX(H159,1-H159)</f>
        <v/>
      </c>
      <c r="K159">
        <f>_xlfn.IFS(
J159&lt;=0.55,"50~55",
J159&lt;=0.6,"55~60",
J159&lt;=0.65,"60~65",
J159&lt;=0.7,"65~70",
TRUE,"70~100"
)</f>
        <v/>
      </c>
      <c r="L159">
        <f>IF(H159&gt;=0.5,"HOME","AWAY")</f>
        <v/>
      </c>
      <c r="M159">
        <f>IF(AND(N159&lt;&gt;"", OR(N159=0, N159=1)), (J159-N159)^2, "")</f>
        <v/>
      </c>
      <c r="N159" t="n">
        <v>0</v>
      </c>
      <c r="O159">
        <f>IF(AND(N159&lt;&gt;"", OR(N159=0, N159=1)), IF(ROUND(H159,0)=N159, 1, 0), "")</f>
        <v/>
      </c>
    </row>
    <row r="160">
      <c r="A160" t="n">
        <v>20260204</v>
      </c>
      <c r="B160" t="inlineStr">
        <is>
          <t>2026-05-14</t>
        </is>
      </c>
      <c r="C160" t="inlineStr">
        <is>
          <t>KIA</t>
        </is>
      </c>
      <c r="D160" t="inlineStr">
        <is>
          <t>두산</t>
        </is>
      </c>
      <c r="E160" t="n">
        <v>2002</v>
      </c>
      <c r="F160" t="n">
        <v>6002</v>
      </c>
      <c r="G160" t="n">
        <v>39.63</v>
      </c>
      <c r="H160" t="n">
        <v>0.3963160945950911</v>
      </c>
      <c r="I160" t="inlineStr">
        <is>
          <t>core_full</t>
        </is>
      </c>
      <c r="J160">
        <f>MAX(H160,1-H160)</f>
        <v/>
      </c>
      <c r="K160">
        <f>_xlfn.IFS(
J160&lt;=0.55,"50~55",
J160&lt;=0.6,"55~60",
J160&lt;=0.65,"60~65",
J160&lt;=0.7,"65~70",
TRUE,"70~100"
)</f>
        <v/>
      </c>
      <c r="L160">
        <f>IF(H160&gt;=0.5,"HOME","AWAY")</f>
        <v/>
      </c>
      <c r="M160">
        <f>IF(AND(N160&lt;&gt;"", OR(N160=0, N160=1)), (J160-N160)^2, "")</f>
        <v/>
      </c>
      <c r="N160" t="n">
        <v>1</v>
      </c>
      <c r="O160">
        <f>IF(AND(N160&lt;&gt;"", OR(N160=0, N160=1)), IF(ROUND(H160,0)=N160, 1, 0), "")</f>
        <v/>
      </c>
    </row>
    <row r="161">
      <c r="A161" t="n">
        <v>20260205</v>
      </c>
      <c r="B161" t="inlineStr">
        <is>
          <t>2026-05-14</t>
        </is>
      </c>
      <c r="C161" t="inlineStr">
        <is>
          <t>롯데</t>
        </is>
      </c>
      <c r="D161" t="inlineStr">
        <is>
          <t>NC</t>
        </is>
      </c>
      <c r="E161" t="n">
        <v>3001</v>
      </c>
      <c r="F161" t="n">
        <v>11001</v>
      </c>
      <c r="G161" t="n">
        <v>43.45</v>
      </c>
      <c r="H161" t="n">
        <v>0.4344763523320166</v>
      </c>
      <c r="I161" t="inlineStr">
        <is>
          <t>core_full</t>
        </is>
      </c>
      <c r="J161">
        <f>MAX(H161,1-H161)</f>
        <v/>
      </c>
      <c r="K161">
        <f>_xlfn.IFS(
J161&lt;=0.55,"50~55",
J161&lt;=0.6,"55~60",
J161&lt;=0.65,"60~65",
J161&lt;=0.7,"65~70",
TRUE,"70~100"
)</f>
        <v/>
      </c>
      <c r="L161">
        <f>IF(H161&gt;=0.5,"HOME","AWAY")</f>
        <v/>
      </c>
      <c r="M161">
        <f>IF(AND(N161&lt;&gt;"", OR(N161=0, N161=1)), (J161-N161)^2, "")</f>
        <v/>
      </c>
      <c r="N161" t="n">
        <v>0</v>
      </c>
      <c r="O161">
        <f>IF(AND(N161&lt;&gt;"", OR(N161=0, N161=1)), IF(ROUND(H161,0)=N161, 1, 0), "")</f>
        <v/>
      </c>
    </row>
    <row r="162">
      <c r="A162" t="n">
        <v>20260206</v>
      </c>
      <c r="B162" t="inlineStr">
        <is>
          <t>2026-05-15</t>
        </is>
      </c>
      <c r="C162" t="inlineStr">
        <is>
          <t>두산</t>
        </is>
      </c>
      <c r="D162" t="inlineStr">
        <is>
          <t>롯데</t>
        </is>
      </c>
      <c r="E162" t="n">
        <v>6002</v>
      </c>
      <c r="F162" t="n">
        <v>3001</v>
      </c>
      <c r="G162" t="n">
        <v>51.65</v>
      </c>
      <c r="H162" t="n">
        <v>0.5165330541508711</v>
      </c>
      <c r="I162" t="inlineStr">
        <is>
          <t>core_sp</t>
        </is>
      </c>
      <c r="J162">
        <f>MAX(H162,1-H162)</f>
        <v/>
      </c>
      <c r="K162">
        <f>_xlfn.IFS(
J162&lt;=0.55,"50~55",
J162&lt;=0.6,"55~60",
J162&lt;=0.65,"60~65",
J162&lt;=0.7,"65~70",
TRUE,"70~100"
)</f>
        <v/>
      </c>
      <c r="L162">
        <f>IF(H162&gt;=0.5,"HOME","AWAY")</f>
        <v/>
      </c>
      <c r="M162">
        <f>IF(AND(N162&lt;&gt;"", OR(N162=0, N162=1)), (J162-N162)^2, "")</f>
        <v/>
      </c>
      <c r="N162" t="n">
        <v>0</v>
      </c>
      <c r="O162">
        <f>IF(AND(N162&lt;&gt;"", OR(N162=0, N162=1)), IF(ROUND(H162,0)=N162, 1, 0), "")</f>
        <v/>
      </c>
    </row>
    <row r="163">
      <c r="A163" t="n">
        <v>20260207</v>
      </c>
      <c r="B163" t="inlineStr">
        <is>
          <t>2026-05-15</t>
        </is>
      </c>
      <c r="C163" t="inlineStr">
        <is>
          <t>SSG</t>
        </is>
      </c>
      <c r="D163" t="inlineStr">
        <is>
          <t>LG</t>
        </is>
      </c>
      <c r="E163" t="n">
        <v>9002</v>
      </c>
      <c r="F163" t="n">
        <v>5002</v>
      </c>
      <c r="G163" t="n">
        <v>10.28</v>
      </c>
      <c r="H163" t="n">
        <v>0.1028356045602769</v>
      </c>
      <c r="I163" t="inlineStr">
        <is>
          <t>core_sp</t>
        </is>
      </c>
      <c r="J163">
        <f>MAX(H163,1-H163)</f>
        <v/>
      </c>
      <c r="K163">
        <f>_xlfn.IFS(
J163&lt;=0.55,"50~55",
J163&lt;=0.6,"55~60",
J163&lt;=0.65,"60~65",
J163&lt;=0.7,"65~70",
TRUE,"70~100"
)</f>
        <v/>
      </c>
      <c r="L163">
        <f>IF(H163&gt;=0.5,"HOME","AWAY")</f>
        <v/>
      </c>
      <c r="M163">
        <f>IF(AND(N163&lt;&gt;"", OR(N163=0, N163=1)), (J163-N163)^2, "")</f>
        <v/>
      </c>
      <c r="N163" t="n">
        <v>0</v>
      </c>
      <c r="O163">
        <f>IF(AND(N163&lt;&gt;"", OR(N163=0, N163=1)), IF(ROUND(H163,0)=N163, 1, 0), "")</f>
        <v/>
      </c>
    </row>
    <row r="164">
      <c r="A164" t="n">
        <v>20260208</v>
      </c>
      <c r="B164" t="inlineStr">
        <is>
          <t>2026-05-15</t>
        </is>
      </c>
      <c r="C164" t="inlineStr">
        <is>
          <t>KT</t>
        </is>
      </c>
      <c r="D164" t="inlineStr">
        <is>
          <t>한화</t>
        </is>
      </c>
      <c r="E164" t="n">
        <v>12001</v>
      </c>
      <c r="F164" t="n">
        <v>7002</v>
      </c>
      <c r="G164" t="n">
        <v>47.53</v>
      </c>
      <c r="H164" t="n">
        <v>0.4752857544626855</v>
      </c>
      <c r="I164" t="inlineStr">
        <is>
          <t>core_sp</t>
        </is>
      </c>
      <c r="J164">
        <f>MAX(H164,1-H164)</f>
        <v/>
      </c>
      <c r="K164">
        <f>_xlfn.IFS(
J164&lt;=0.55,"50~55",
J164&lt;=0.6,"55~60",
J164&lt;=0.65,"60~65",
J164&lt;=0.7,"65~70",
TRUE,"70~100"
)</f>
        <v/>
      </c>
      <c r="L164">
        <f>IF(H164&gt;=0.5,"HOME","AWAY")</f>
        <v/>
      </c>
      <c r="M164">
        <f>IF(AND(N164&lt;&gt;"", OR(N164=0, N164=1)), (J164-N164)^2, "")</f>
        <v/>
      </c>
      <c r="N164" t="n">
        <v>0</v>
      </c>
      <c r="O164">
        <f>IF(AND(N164&lt;&gt;"", OR(N164=0, N164=1)), IF(ROUND(H164,0)=N164, 1, 0), "")</f>
        <v/>
      </c>
    </row>
    <row r="165">
      <c r="A165" t="n">
        <v>20260209</v>
      </c>
      <c r="B165" t="inlineStr">
        <is>
          <t>2026-05-15</t>
        </is>
      </c>
      <c r="C165" t="inlineStr">
        <is>
          <t>삼성</t>
        </is>
      </c>
      <c r="D165" t="inlineStr">
        <is>
          <t>KIA</t>
        </is>
      </c>
      <c r="E165" t="n">
        <v>1001</v>
      </c>
      <c r="F165" t="n">
        <v>2002</v>
      </c>
      <c r="G165" t="n">
        <v>54.48</v>
      </c>
      <c r="H165" t="n">
        <v>0.5448111809903715</v>
      </c>
      <c r="I165" t="inlineStr">
        <is>
          <t>core_sp</t>
        </is>
      </c>
      <c r="J165">
        <f>MAX(H165,1-H165)</f>
        <v/>
      </c>
      <c r="K165">
        <f>_xlfn.IFS(
J165&lt;=0.55,"50~55",
J165&lt;=0.6,"55~60",
J165&lt;=0.65,"60~65",
J165&lt;=0.7,"65~70",
TRUE,"70~100"
)</f>
        <v/>
      </c>
      <c r="L165">
        <f>IF(H165&gt;=0.5,"HOME","AWAY")</f>
        <v/>
      </c>
      <c r="M165">
        <f>IF(AND(N165&lt;&gt;"", OR(N165=0, N165=1)), (J165-N165)^2, "")</f>
        <v/>
      </c>
      <c r="N165" t="n">
        <v>0</v>
      </c>
      <c r="O165">
        <f>IF(AND(N165&lt;&gt;"", OR(N165=0, N165=1)), IF(ROUND(H165,0)=N165, 1, 0), "")</f>
        <v/>
      </c>
    </row>
    <row r="166">
      <c r="A166" t="n">
        <v>20260210</v>
      </c>
      <c r="B166" t="inlineStr">
        <is>
          <t>2026-05-15</t>
        </is>
      </c>
      <c r="C166" t="inlineStr">
        <is>
          <t>NC</t>
        </is>
      </c>
      <c r="D166" t="inlineStr">
        <is>
          <t>키움</t>
        </is>
      </c>
      <c r="E166" t="n">
        <v>11001</v>
      </c>
      <c r="F166" t="n">
        <v>10001</v>
      </c>
      <c r="G166" t="n">
        <v>32.65</v>
      </c>
      <c r="H166" t="n">
        <v>0.3265168192275489</v>
      </c>
      <c r="I166" t="inlineStr">
        <is>
          <t>core_sp</t>
        </is>
      </c>
      <c r="J166">
        <f>MAX(H166,1-H166)</f>
        <v/>
      </c>
      <c r="K166">
        <f>_xlfn.IFS(
J166&lt;=0.55,"50~55",
J166&lt;=0.6,"55~60",
J166&lt;=0.65,"60~65",
J166&lt;=0.7,"65~70",
TRUE,"70~100"
)</f>
        <v/>
      </c>
      <c r="L166">
        <f>IF(H166&gt;=0.5,"HOME","AWAY")</f>
        <v/>
      </c>
      <c r="M166">
        <f>IF(AND(N166&lt;&gt;"", OR(N166=0, N166=1)), (J166-N166)^2, "")</f>
        <v/>
      </c>
      <c r="N166" t="n">
        <v>0</v>
      </c>
      <c r="O166">
        <f>IF(AND(N166&lt;&gt;"", OR(N166=0, N166=1)), IF(ROUND(H166,0)=N166, 1, 0), "")</f>
        <v/>
      </c>
    </row>
    <row r="167">
      <c r="A167" t="n">
        <v>20260213</v>
      </c>
      <c r="B167" t="inlineStr">
        <is>
          <t>2026-05-16</t>
        </is>
      </c>
      <c r="C167" t="inlineStr">
        <is>
          <t>KT</t>
        </is>
      </c>
      <c r="D167" t="inlineStr">
        <is>
          <t>한화</t>
        </is>
      </c>
      <c r="E167" t="n">
        <v>12001</v>
      </c>
      <c r="F167" t="n">
        <v>7002</v>
      </c>
      <c r="G167" t="n">
        <v>67.27</v>
      </c>
      <c r="H167" t="n">
        <v>0.6727473223975902</v>
      </c>
      <c r="I167" t="inlineStr">
        <is>
          <t>core_sp</t>
        </is>
      </c>
      <c r="J167">
        <f>MAX(H167,1-H167)</f>
        <v/>
      </c>
      <c r="K167">
        <f>_xlfn.IFS(
J167&lt;=0.55,"50~55",
J167&lt;=0.6,"55~60",
J167&lt;=0.65,"60~65",
J167&lt;=0.7,"65~70",
TRUE,"70~100"
)</f>
        <v/>
      </c>
      <c r="L167">
        <f>IF(H167&gt;=0.5,"HOME","AWAY")</f>
        <v/>
      </c>
      <c r="M167">
        <f>IF(AND(N167&lt;&gt;"", OR(N167=0, N167=1)), (J167-N167)^2, "")</f>
        <v/>
      </c>
      <c r="N167" t="n">
        <v>0</v>
      </c>
      <c r="O167">
        <f>IF(AND(N167&lt;&gt;"", OR(N167=0, N167=1)), IF(ROUND(H167,0)=N167, 1, 0), "")</f>
        <v/>
      </c>
    </row>
    <row r="168">
      <c r="A168" t="n">
        <v>20260211</v>
      </c>
      <c r="B168" t="inlineStr">
        <is>
          <t>2026-05-16</t>
        </is>
      </c>
      <c r="C168" t="inlineStr">
        <is>
          <t>두산</t>
        </is>
      </c>
      <c r="D168" t="inlineStr">
        <is>
          <t>롯데</t>
        </is>
      </c>
      <c r="E168" t="n">
        <v>6002</v>
      </c>
      <c r="F168" t="n">
        <v>3001</v>
      </c>
      <c r="G168" t="n">
        <v>60.27</v>
      </c>
      <c r="H168" t="n">
        <v>0.6026720173531367</v>
      </c>
      <c r="I168" t="inlineStr">
        <is>
          <t>core_sp</t>
        </is>
      </c>
      <c r="J168">
        <f>MAX(H168,1-H168)</f>
        <v/>
      </c>
      <c r="K168">
        <f>_xlfn.IFS(
J168&lt;=0.55,"50~55",
J168&lt;=0.6,"55~60",
J168&lt;=0.65,"60~65",
J168&lt;=0.7,"65~70",
TRUE,"70~100"
)</f>
        <v/>
      </c>
      <c r="L168">
        <f>IF(H168&gt;=0.5,"HOME","AWAY")</f>
        <v/>
      </c>
      <c r="M168">
        <f>IF(AND(N168&lt;&gt;"", OR(N168=0, N168=1)), (J168-N168)^2, "")</f>
        <v/>
      </c>
      <c r="N168" t="n">
        <v>1</v>
      </c>
      <c r="O168">
        <f>IF(AND(N168&lt;&gt;"", OR(N168=0, N168=1)), IF(ROUND(H168,0)=N168, 1, 0), "")</f>
        <v/>
      </c>
    </row>
    <row r="169">
      <c r="A169" t="n">
        <v>20260212</v>
      </c>
      <c r="B169" t="inlineStr">
        <is>
          <t>2026-05-16</t>
        </is>
      </c>
      <c r="C169" t="inlineStr">
        <is>
          <t>SSG</t>
        </is>
      </c>
      <c r="D169" t="inlineStr">
        <is>
          <t>LG</t>
        </is>
      </c>
      <c r="E169" t="n">
        <v>9002</v>
      </c>
      <c r="F169" t="n">
        <v>5002</v>
      </c>
      <c r="G169" t="n">
        <v>58.79</v>
      </c>
      <c r="H169" t="n">
        <v>0.5878583530205586</v>
      </c>
      <c r="I169" t="inlineStr">
        <is>
          <t>core_sp</t>
        </is>
      </c>
      <c r="J169">
        <f>MAX(H169,1-H169)</f>
        <v/>
      </c>
      <c r="K169">
        <f>_xlfn.IFS(
J169&lt;=0.55,"50~55",
J169&lt;=0.6,"55~60",
J169&lt;=0.65,"60~65",
J169&lt;=0.7,"65~70",
TRUE,"70~100"
)</f>
        <v/>
      </c>
      <c r="L169">
        <f>IF(H169&gt;=0.5,"HOME","AWAY")</f>
        <v/>
      </c>
      <c r="M169">
        <f>IF(AND(N169&lt;&gt;"", OR(N169=0, N169=1)), (J169-N169)^2, "")</f>
        <v/>
      </c>
      <c r="N169" t="n">
        <v>1</v>
      </c>
      <c r="O169">
        <f>IF(AND(N169&lt;&gt;"", OR(N169=0, N169=1)), IF(ROUND(H169,0)=N169, 1, 0), "")</f>
        <v/>
      </c>
    </row>
    <row r="170">
      <c r="A170" t="n">
        <v>20260214</v>
      </c>
      <c r="B170" t="inlineStr">
        <is>
          <t>2026-05-16</t>
        </is>
      </c>
      <c r="C170" t="inlineStr">
        <is>
          <t>삼성</t>
        </is>
      </c>
      <c r="D170" t="inlineStr">
        <is>
          <t>KIA</t>
        </is>
      </c>
      <c r="E170" t="n">
        <v>1001</v>
      </c>
      <c r="F170" t="n">
        <v>2002</v>
      </c>
      <c r="G170" t="n">
        <v>72.11</v>
      </c>
      <c r="H170" t="n">
        <v>0.7211088078686466</v>
      </c>
      <c r="I170" t="inlineStr">
        <is>
          <t>core_sp</t>
        </is>
      </c>
      <c r="J170">
        <f>MAX(H170,1-H170)</f>
        <v/>
      </c>
      <c r="K170">
        <f>_xlfn.IFS(
J170&lt;=0.55,"50~55",
J170&lt;=0.6,"55~60",
J170&lt;=0.65,"60~65",
J170&lt;=0.7,"65~70",
TRUE,"70~100"
)</f>
        <v/>
      </c>
      <c r="L170">
        <f>IF(H170&gt;=0.5,"HOME","AWAY")</f>
        <v/>
      </c>
      <c r="M170">
        <f>IF(AND(N170&lt;&gt;"", OR(N170=0, N170=1)), (J170-N170)^2, "")</f>
        <v/>
      </c>
      <c r="N170" t="n">
        <v>1</v>
      </c>
      <c r="O170">
        <f>IF(AND(N170&lt;&gt;"", OR(N170=0, N170=1)), IF(ROUND(H170,0)=N170, 1, 0), "")</f>
        <v/>
      </c>
    </row>
    <row r="171">
      <c r="A171" t="n">
        <v>20260215</v>
      </c>
      <c r="B171" t="inlineStr">
        <is>
          <t>2026-05-16</t>
        </is>
      </c>
      <c r="C171" t="inlineStr">
        <is>
          <t>NC</t>
        </is>
      </c>
      <c r="D171" t="inlineStr">
        <is>
          <t>키움</t>
        </is>
      </c>
      <c r="E171" t="n">
        <v>11001</v>
      </c>
      <c r="F171" t="n">
        <v>10001</v>
      </c>
      <c r="G171" t="n">
        <v>41.03</v>
      </c>
      <c r="H171" t="n">
        <v>0.4103273073274463</v>
      </c>
      <c r="I171" t="inlineStr">
        <is>
          <t>core_sp</t>
        </is>
      </c>
      <c r="J171">
        <f>MAX(H171,1-H171)</f>
        <v/>
      </c>
      <c r="K171">
        <f>_xlfn.IFS(
J171&lt;=0.55,"50~55",
J171&lt;=0.6,"55~60",
J171&lt;=0.65,"60~65",
J171&lt;=0.7,"65~70",
TRUE,"70~100"
)</f>
        <v/>
      </c>
      <c r="L171">
        <f>IF(H171&gt;=0.5,"HOME","AWAY")</f>
        <v/>
      </c>
      <c r="M171">
        <f>IF(AND(N171&lt;&gt;"", OR(N171=0, N171=1)), (J171-N171)^2, "")</f>
        <v/>
      </c>
      <c r="N171" t="n">
        <v>1</v>
      </c>
      <c r="O171">
        <f>IF(AND(N171&lt;&gt;"", OR(N171=0, N171=1)), IF(ROUND(H171,0)=N171, 1, 0), "")</f>
        <v/>
      </c>
    </row>
    <row r="172">
      <c r="A172" t="n">
        <v>20260216</v>
      </c>
      <c r="B172" t="inlineStr">
        <is>
          <t>2026-05-17</t>
        </is>
      </c>
      <c r="C172" t="inlineStr">
        <is>
          <t>두산</t>
        </is>
      </c>
      <c r="D172" t="inlineStr">
        <is>
          <t>롯데</t>
        </is>
      </c>
      <c r="E172" t="n">
        <v>6002</v>
      </c>
      <c r="F172" t="n">
        <v>3001</v>
      </c>
      <c r="G172" t="n">
        <v>46.67</v>
      </c>
      <c r="H172" t="n">
        <v>0.4666588753968506</v>
      </c>
      <c r="I172" t="inlineStr">
        <is>
          <t>core_sp</t>
        </is>
      </c>
      <c r="J172">
        <f>MAX(H172,1-H172)</f>
        <v/>
      </c>
      <c r="K172">
        <f>_xlfn.IFS(
J172&lt;=0.55,"50~55",
J172&lt;=0.6,"55~60",
J172&lt;=0.65,"60~65",
J172&lt;=0.7,"65~70",
TRUE,"70~100"
)</f>
        <v/>
      </c>
      <c r="L172">
        <f>IF(H172&gt;=0.5,"HOME","AWAY")</f>
        <v/>
      </c>
      <c r="M172">
        <f>IF(AND(N172&lt;&gt;"", OR(N172=0, N172=1)), (J172-N172)^2, "")</f>
        <v/>
      </c>
      <c r="N172" t="n">
        <v>1</v>
      </c>
      <c r="O172">
        <f>IF(AND(N172&lt;&gt;"", OR(N172=0, N172=1)), IF(ROUND(H172,0)=N172, 1, 0), "")</f>
        <v/>
      </c>
    </row>
    <row r="173">
      <c r="A173" t="n">
        <v>20260217</v>
      </c>
      <c r="B173" t="inlineStr">
        <is>
          <t>2026-05-17</t>
        </is>
      </c>
      <c r="C173" t="inlineStr">
        <is>
          <t>SSG</t>
        </is>
      </c>
      <c r="D173" t="inlineStr">
        <is>
          <t>LG</t>
        </is>
      </c>
      <c r="E173" t="n">
        <v>9002</v>
      </c>
      <c r="F173" t="n">
        <v>5002</v>
      </c>
      <c r="G173" t="n">
        <v>50.49</v>
      </c>
      <c r="H173" t="n">
        <v>0.5048964467932884</v>
      </c>
      <c r="I173" t="inlineStr">
        <is>
          <t>core_sp</t>
        </is>
      </c>
      <c r="J173">
        <f>MAX(H173,1-H173)</f>
        <v/>
      </c>
      <c r="K173">
        <f>_xlfn.IFS(
J173&lt;=0.55,"50~55",
J173&lt;=0.6,"55~60",
J173&lt;=0.65,"60~65",
J173&lt;=0.7,"65~70",
TRUE,"70~100"
)</f>
        <v/>
      </c>
      <c r="L173">
        <f>IF(H173&gt;=0.5,"HOME","AWAY")</f>
        <v/>
      </c>
      <c r="M173">
        <f>IF(AND(N173&lt;&gt;"", OR(N173=0, N173=1)), (J173-N173)^2, "")</f>
        <v/>
      </c>
      <c r="N173" t="n">
        <v>0</v>
      </c>
      <c r="O173">
        <f>IF(AND(N173&lt;&gt;"", OR(N173=0, N173=1)), IF(ROUND(H173,0)=N173, 1, 0), "")</f>
        <v/>
      </c>
    </row>
    <row r="174">
      <c r="A174" t="n">
        <v>20260218</v>
      </c>
      <c r="B174" t="inlineStr">
        <is>
          <t>2026-05-17</t>
        </is>
      </c>
      <c r="C174" t="inlineStr">
        <is>
          <t>KT</t>
        </is>
      </c>
      <c r="D174" t="inlineStr">
        <is>
          <t>한화</t>
        </is>
      </c>
      <c r="E174" t="n">
        <v>12001</v>
      </c>
      <c r="F174" t="n">
        <v>7002</v>
      </c>
      <c r="G174" t="n">
        <v>28.02</v>
      </c>
      <c r="H174" t="n">
        <v>0.2801555148717317</v>
      </c>
      <c r="I174" t="inlineStr">
        <is>
          <t>core_sp</t>
        </is>
      </c>
      <c r="J174">
        <f>MAX(H174,1-H174)</f>
        <v/>
      </c>
      <c r="K174">
        <f>_xlfn.IFS(
J174&lt;=0.55,"50~55",
J174&lt;=0.6,"55~60",
J174&lt;=0.65,"60~65",
J174&lt;=0.7,"65~70",
TRUE,"70~100"
)</f>
        <v/>
      </c>
      <c r="L174">
        <f>IF(H174&gt;=0.5,"HOME","AWAY")</f>
        <v/>
      </c>
      <c r="M174">
        <f>IF(AND(N174&lt;&gt;"", OR(N174=0, N174=1)), (J174-N174)^2, "")</f>
        <v/>
      </c>
      <c r="N174" t="n">
        <v>1</v>
      </c>
      <c r="O174">
        <f>IF(AND(N174&lt;&gt;"", OR(N174=0, N174=1)), IF(ROUND(H174,0)=N174, 1, 0), "")</f>
        <v/>
      </c>
    </row>
    <row r="175">
      <c r="A175" t="n">
        <v>20260219</v>
      </c>
      <c r="B175" t="inlineStr">
        <is>
          <t>2026-05-17</t>
        </is>
      </c>
      <c r="C175" t="inlineStr">
        <is>
          <t>삼성</t>
        </is>
      </c>
      <c r="D175" t="inlineStr">
        <is>
          <t>KIA</t>
        </is>
      </c>
      <c r="E175" t="n">
        <v>1001</v>
      </c>
      <c r="F175" t="n">
        <v>2002</v>
      </c>
      <c r="G175" t="n">
        <v>73.64</v>
      </c>
      <c r="H175" t="n">
        <v>0.7364455934400748</v>
      </c>
      <c r="I175" t="inlineStr">
        <is>
          <t>core_sp</t>
        </is>
      </c>
      <c r="J175">
        <f>MAX(H175,1-H175)</f>
        <v/>
      </c>
      <c r="K175">
        <f>_xlfn.IFS(
J175&lt;=0.55,"50~55",
J175&lt;=0.6,"55~60",
J175&lt;=0.65,"60~65",
J175&lt;=0.7,"65~70",
TRUE,"70~100"
)</f>
        <v/>
      </c>
      <c r="L175">
        <f>IF(H175&gt;=0.5,"HOME","AWAY")</f>
        <v/>
      </c>
      <c r="M175">
        <f>IF(AND(N175&lt;&gt;"", OR(N175=0, N175=1)), (J175-N175)^2, "")</f>
        <v/>
      </c>
      <c r="N175" t="n">
        <v>0</v>
      </c>
      <c r="O175">
        <f>IF(AND(N175&lt;&gt;"", OR(N175=0, N175=1)), IF(ROUND(H175,0)=N175, 1, 0), "")</f>
        <v/>
      </c>
    </row>
    <row r="176">
      <c r="A176" t="n">
        <v>20260220</v>
      </c>
      <c r="B176" t="inlineStr">
        <is>
          <t>2026-05-17</t>
        </is>
      </c>
      <c r="C176" t="inlineStr">
        <is>
          <t>NC</t>
        </is>
      </c>
      <c r="D176" t="inlineStr">
        <is>
          <t>키움</t>
        </is>
      </c>
      <c r="E176" t="n">
        <v>11001</v>
      </c>
      <c r="F176" t="n">
        <v>10001</v>
      </c>
      <c r="G176" t="n">
        <v>56.37</v>
      </c>
      <c r="H176" t="n">
        <v>0.5636808485837504</v>
      </c>
      <c r="I176" t="inlineStr">
        <is>
          <t>core_sp</t>
        </is>
      </c>
      <c r="J176">
        <f>MAX(H176,1-H176)</f>
        <v/>
      </c>
      <c r="K176">
        <f>_xlfn.IFS(
J176&lt;=0.55,"50~55",
J176&lt;=0.6,"55~60",
J176&lt;=0.65,"60~65",
J176&lt;=0.7,"65~70",
TRUE,"70~100"
)</f>
        <v/>
      </c>
      <c r="L176">
        <f>IF(H176&gt;=0.5,"HOME","AWAY")</f>
        <v/>
      </c>
      <c r="M176">
        <f>IF(AND(N176&lt;&gt;"", OR(N176=0, N176=1)), (J176-N176)^2, "")</f>
        <v/>
      </c>
      <c r="N176" t="n">
        <v>0</v>
      </c>
      <c r="O176">
        <f>IF(AND(N176&lt;&gt;"", OR(N176=0, N176=1)), IF(ROUND(H176,0)=N176, 1, 0), "")</f>
        <v/>
      </c>
    </row>
    <row r="177">
      <c r="A177" t="n">
        <v>20260221</v>
      </c>
      <c r="B177" t="inlineStr">
        <is>
          <t>2026-05-19</t>
        </is>
      </c>
      <c r="C177" t="inlineStr">
        <is>
          <t>두산</t>
        </is>
      </c>
      <c r="D177" t="inlineStr">
        <is>
          <t>NC</t>
        </is>
      </c>
      <c r="E177" t="n">
        <v>6002</v>
      </c>
      <c r="F177" t="n">
        <v>11001</v>
      </c>
      <c r="G177" t="n">
        <v>64.54000000000001</v>
      </c>
      <c r="H177" t="n">
        <v>0.6454187932571784</v>
      </c>
      <c r="I177" t="inlineStr">
        <is>
          <t>elo_sp</t>
        </is>
      </c>
      <c r="J177">
        <f>MAX(H177,1-H177)</f>
        <v/>
      </c>
      <c r="K177">
        <f>_xlfn.IFS(
J177&lt;=0.55,"50~55",
J177&lt;=0.6,"55~60",
J177&lt;=0.65,"60~65",
J177&lt;=0.7,"65~70",
TRUE,"70~100"
)</f>
        <v/>
      </c>
      <c r="L177">
        <f>IF(H177&gt;=0.5,"HOME","AWAY")</f>
        <v/>
      </c>
      <c r="M177">
        <f>IF(AND(N177&lt;&gt;"", OR(N177=0, N177=1)), (J177-N177)^2, "")</f>
        <v/>
      </c>
      <c r="N177" t="n">
        <v>1</v>
      </c>
      <c r="O177">
        <f>IF(AND(N177&lt;&gt;"", OR(N177=0, N177=1)), IF(ROUND(H177,0)=N177, 1, 0), "")</f>
        <v/>
      </c>
    </row>
    <row r="178">
      <c r="A178" t="n">
        <v>20260222</v>
      </c>
      <c r="B178" t="inlineStr">
        <is>
          <t>2026-05-19</t>
        </is>
      </c>
      <c r="C178" t="inlineStr">
        <is>
          <t>키움</t>
        </is>
      </c>
      <c r="D178" t="inlineStr">
        <is>
          <t>SSG</t>
        </is>
      </c>
      <c r="E178" t="n">
        <v>10001</v>
      </c>
      <c r="F178" t="n">
        <v>9002</v>
      </c>
      <c r="G178" t="n">
        <v>69.17</v>
      </c>
      <c r="H178" t="n">
        <v>0.6916602638986075</v>
      </c>
      <c r="I178" t="inlineStr">
        <is>
          <t>elo_sp</t>
        </is>
      </c>
      <c r="J178">
        <f>MAX(H178,1-H178)</f>
        <v/>
      </c>
      <c r="K178">
        <f>_xlfn.IFS(
J178&lt;=0.55,"50~55",
J178&lt;=0.6,"55~60",
J178&lt;=0.65,"60~65",
J178&lt;=0.7,"65~70",
TRUE,"70~100"
)</f>
        <v/>
      </c>
      <c r="L178">
        <f>IF(H178&gt;=0.5,"HOME","AWAY")</f>
        <v/>
      </c>
      <c r="M178">
        <f>IF(AND(N178&lt;&gt;"", OR(N178=0, N178=1)), (J178-N178)^2, "")</f>
        <v/>
      </c>
      <c r="N178" t="n">
        <v>1</v>
      </c>
      <c r="O178">
        <f>IF(AND(N178&lt;&gt;"", OR(N178=0, N178=1)), IF(ROUND(H178,0)=N178, 1, 0), "")</f>
        <v/>
      </c>
    </row>
    <row r="179">
      <c r="A179" t="n">
        <v>20260223</v>
      </c>
      <c r="B179" t="inlineStr">
        <is>
          <t>2026-05-19</t>
        </is>
      </c>
      <c r="C179" t="inlineStr">
        <is>
          <t>한화</t>
        </is>
      </c>
      <c r="D179" t="inlineStr">
        <is>
          <t>롯데</t>
        </is>
      </c>
      <c r="E179" t="n">
        <v>7002</v>
      </c>
      <c r="F179" t="n">
        <v>3001</v>
      </c>
      <c r="G179" t="n">
        <v>47.15</v>
      </c>
      <c r="H179" t="n">
        <v>0.471502791842707</v>
      </c>
      <c r="I179" t="inlineStr">
        <is>
          <t>elo_sp</t>
        </is>
      </c>
      <c r="J179">
        <f>MAX(H179,1-H179)</f>
        <v/>
      </c>
      <c r="K179">
        <f>_xlfn.IFS(
J179&lt;=0.55,"50~55",
J179&lt;=0.6,"55~60",
J179&lt;=0.65,"60~65",
J179&lt;=0.7,"65~70",
TRUE,"70~100"
)</f>
        <v/>
      </c>
      <c r="L179">
        <f>IF(H179&gt;=0.5,"HOME","AWAY")</f>
        <v/>
      </c>
      <c r="M179">
        <f>IF(AND(N179&lt;&gt;"", OR(N179=0, N179=1)), (J179-N179)^2, "")</f>
        <v/>
      </c>
      <c r="N179" t="n">
        <v>0</v>
      </c>
      <c r="O179">
        <f>IF(AND(N179&lt;&gt;"", OR(N179=0, N179=1)), IF(ROUND(H179,0)=N179, 1, 0), "")</f>
        <v/>
      </c>
    </row>
    <row r="180">
      <c r="A180" t="n">
        <v>20260224</v>
      </c>
      <c r="B180" t="inlineStr">
        <is>
          <t>2026-05-19</t>
        </is>
      </c>
      <c r="C180" t="inlineStr">
        <is>
          <t>삼성</t>
        </is>
      </c>
      <c r="D180" t="inlineStr">
        <is>
          <t>KT</t>
        </is>
      </c>
      <c r="E180" t="n">
        <v>1001</v>
      </c>
      <c r="F180" t="n">
        <v>12001</v>
      </c>
      <c r="G180" t="n">
        <v>47.87</v>
      </c>
      <c r="H180" t="n">
        <v>0.4787123419364039</v>
      </c>
      <c r="I180" t="inlineStr">
        <is>
          <t>elo_sp</t>
        </is>
      </c>
      <c r="J180">
        <f>MAX(H180,1-H180)</f>
        <v/>
      </c>
      <c r="K180">
        <f>_xlfn.IFS(
J180&lt;=0.55,"50~55",
J180&lt;=0.6,"55~60",
J180&lt;=0.65,"60~65",
J180&lt;=0.7,"65~70",
TRUE,"70~100"
)</f>
        <v/>
      </c>
      <c r="L180">
        <f>IF(H180&gt;=0.5,"HOME","AWAY")</f>
        <v/>
      </c>
      <c r="M180">
        <f>IF(AND(N180&lt;&gt;"", OR(N180=0, N180=1)), (J180-N180)^2, "")</f>
        <v/>
      </c>
      <c r="N180" t="n">
        <v>1</v>
      </c>
      <c r="O180">
        <f>IF(AND(N180&lt;&gt;"", OR(N180=0, N180=1)), IF(ROUND(H180,0)=N180, 1, 0), "")</f>
        <v/>
      </c>
    </row>
    <row r="181">
      <c r="A181" t="n">
        <v>20260225</v>
      </c>
      <c r="B181" t="inlineStr">
        <is>
          <t>2026-05-19</t>
        </is>
      </c>
      <c r="C181" t="inlineStr">
        <is>
          <t>KIA</t>
        </is>
      </c>
      <c r="D181" t="inlineStr">
        <is>
          <t>LG</t>
        </is>
      </c>
      <c r="E181" t="n">
        <v>2002</v>
      </c>
      <c r="F181" t="n">
        <v>5002</v>
      </c>
      <c r="G181" t="n">
        <v>55.82</v>
      </c>
      <c r="H181" t="n">
        <v>0.5582253012029273</v>
      </c>
      <c r="I181" t="inlineStr">
        <is>
          <t>elo_sp</t>
        </is>
      </c>
      <c r="J181">
        <f>MAX(H181,1-H181)</f>
        <v/>
      </c>
      <c r="K181">
        <f>_xlfn.IFS(
J181&lt;=0.55,"50~55",
J181&lt;=0.6,"55~60",
J181&lt;=0.65,"60~65",
J181&lt;=0.7,"65~70",
TRUE,"70~100"
)</f>
        <v/>
      </c>
      <c r="L181">
        <f>IF(H181&gt;=0.5,"HOME","AWAY")</f>
        <v/>
      </c>
      <c r="M181">
        <f>IF(AND(N181&lt;&gt;"", OR(N181=0, N181=1)), (J181-N181)^2, "")</f>
        <v/>
      </c>
      <c r="N181" t="n">
        <v>1</v>
      </c>
      <c r="O181">
        <f>IF(AND(N181&lt;&gt;"", OR(N181=0, N181=1)), IF(ROUND(H181,0)=N181, 1, 0), "")</f>
        <v/>
      </c>
    </row>
    <row r="182">
      <c r="A182" t="n">
        <v>20260226</v>
      </c>
      <c r="B182" t="inlineStr">
        <is>
          <t>2026-05-20</t>
        </is>
      </c>
      <c r="C182" t="inlineStr">
        <is>
          <t>두산</t>
        </is>
      </c>
      <c r="D182" t="inlineStr">
        <is>
          <t>NC</t>
        </is>
      </c>
      <c r="E182" t="n">
        <v>6002</v>
      </c>
      <c r="F182" t="n">
        <v>11001</v>
      </c>
      <c r="G182" t="n">
        <v>63.31</v>
      </c>
      <c r="H182" t="n">
        <v>0.6331490018672228</v>
      </c>
      <c r="I182" t="inlineStr">
        <is>
          <t>elo_sp</t>
        </is>
      </c>
      <c r="J182">
        <f>MAX(H182,1-H182)</f>
        <v/>
      </c>
      <c r="K182">
        <f>_xlfn.IFS(
J182&lt;=0.55,"50~55",
J182&lt;=0.6,"55~60",
J182&lt;=0.65,"60~65",
J182&lt;=0.7,"65~70",
TRUE,"70~100"
)</f>
        <v/>
      </c>
      <c r="L182">
        <f>IF(H182&gt;=0.5,"HOME","AWAY")</f>
        <v/>
      </c>
      <c r="M182">
        <f>IF(AND(N182&lt;&gt;"", OR(N182=0, N182=1)), (J182-N182)^2, "")</f>
        <v/>
      </c>
      <c r="N182" t="inlineStr">
        <is>
          <t>cancel</t>
        </is>
      </c>
      <c r="O182">
        <f>IF(AND(N182&lt;&gt;"", OR(N182=0, N182=1)), IF(ROUND(H182,0)=N182, 1, 0), "")</f>
        <v/>
      </c>
    </row>
    <row r="183">
      <c r="A183" t="n">
        <v>20260227</v>
      </c>
      <c r="B183" t="inlineStr">
        <is>
          <t>2026-05-20</t>
        </is>
      </c>
      <c r="C183" t="inlineStr">
        <is>
          <t>키움</t>
        </is>
      </c>
      <c r="D183" t="inlineStr">
        <is>
          <t>SSG</t>
        </is>
      </c>
      <c r="E183" t="n">
        <v>10001</v>
      </c>
      <c r="F183" t="n">
        <v>9002</v>
      </c>
      <c r="G183" t="n">
        <v>56.84</v>
      </c>
      <c r="H183" t="n">
        <v>0.5683537592801126</v>
      </c>
      <c r="I183" t="inlineStr">
        <is>
          <t>elo_sp</t>
        </is>
      </c>
      <c r="J183">
        <f>MAX(H183,1-H183)</f>
        <v/>
      </c>
      <c r="K183">
        <f>_xlfn.IFS(
J183&lt;=0.55,"50~55",
J183&lt;=0.6,"55~60",
J183&lt;=0.65,"60~65",
J183&lt;=0.7,"65~70",
TRUE,"70~100"
)</f>
        <v/>
      </c>
      <c r="L183">
        <f>IF(H183&gt;=0.5,"HOME","AWAY")</f>
        <v/>
      </c>
      <c r="M183">
        <f>IF(AND(N183&lt;&gt;"", OR(N183=0, N183=1)), (J183-N183)^2, "")</f>
        <v/>
      </c>
      <c r="N183" t="n">
        <v>1</v>
      </c>
      <c r="O183">
        <f>IF(AND(N183&lt;&gt;"", OR(N183=0, N183=1)), IF(ROUND(H183,0)=N183, 1, 0), "")</f>
        <v/>
      </c>
    </row>
    <row r="184">
      <c r="A184" t="n">
        <v>20260228</v>
      </c>
      <c r="B184" t="inlineStr">
        <is>
          <t>2026-05-20</t>
        </is>
      </c>
      <c r="C184" t="inlineStr">
        <is>
          <t>한화</t>
        </is>
      </c>
      <c r="D184" t="inlineStr">
        <is>
          <t>롯데</t>
        </is>
      </c>
      <c r="E184" t="n">
        <v>7002</v>
      </c>
      <c r="F184" t="n">
        <v>3001</v>
      </c>
      <c r="G184" t="n">
        <v>50.47</v>
      </c>
      <c r="H184" t="n">
        <v>0.504656170161356</v>
      </c>
      <c r="I184" t="inlineStr">
        <is>
          <t>elo_sp</t>
        </is>
      </c>
      <c r="J184">
        <f>MAX(H184,1-H184)</f>
        <v/>
      </c>
      <c r="K184">
        <f>_xlfn.IFS(
J184&lt;=0.55,"50~55",
J184&lt;=0.6,"55~60",
J184&lt;=0.65,"60~65",
J184&lt;=0.7,"65~70",
TRUE,"70~100"
)</f>
        <v/>
      </c>
      <c r="L184">
        <f>IF(H184&gt;=0.5,"HOME","AWAY")</f>
        <v/>
      </c>
      <c r="M184">
        <f>IF(AND(N184&lt;&gt;"", OR(N184=0, N184=1)), (J184-N184)^2, "")</f>
        <v/>
      </c>
      <c r="N184" t="inlineStr">
        <is>
          <t>cancel</t>
        </is>
      </c>
      <c r="O184">
        <f>IF(AND(N184&lt;&gt;"", OR(N184=0, N184=1)), IF(ROUND(H184,0)=N184, 1, 0), "")</f>
        <v/>
      </c>
    </row>
    <row r="185">
      <c r="A185" t="n">
        <v>20260229</v>
      </c>
      <c r="B185" t="inlineStr">
        <is>
          <t>2026-05-20</t>
        </is>
      </c>
      <c r="C185" t="inlineStr">
        <is>
          <t>삼성</t>
        </is>
      </c>
      <c r="D185" t="inlineStr">
        <is>
          <t>KT</t>
        </is>
      </c>
      <c r="E185" t="n">
        <v>1001</v>
      </c>
      <c r="F185" t="n">
        <v>12001</v>
      </c>
      <c r="G185" t="n">
        <v>42.89</v>
      </c>
      <c r="H185" t="n">
        <v>0.4288599379023278</v>
      </c>
      <c r="I185" t="inlineStr">
        <is>
          <t>elo_sp</t>
        </is>
      </c>
      <c r="J185">
        <f>MAX(H185,1-H185)</f>
        <v/>
      </c>
      <c r="K185">
        <f>_xlfn.IFS(
J185&lt;=0.55,"50~55",
J185&lt;=0.6,"55~60",
J185&lt;=0.65,"60~65",
J185&lt;=0.7,"65~70",
TRUE,"70~100"
)</f>
        <v/>
      </c>
      <c r="L185">
        <f>IF(H185&gt;=0.5,"HOME","AWAY")</f>
        <v/>
      </c>
      <c r="M185">
        <f>IF(AND(N185&lt;&gt;"", OR(N185=0, N185=1)), (J185-N185)^2, "")</f>
        <v/>
      </c>
      <c r="N185" t="inlineStr">
        <is>
          <t>cancel</t>
        </is>
      </c>
      <c r="O185">
        <f>IF(AND(N185&lt;&gt;"", OR(N185=0, N185=1)), IF(ROUND(H185,0)=N185, 1, 0), "")</f>
        <v/>
      </c>
    </row>
    <row r="186">
      <c r="A186" t="n">
        <v>20260230</v>
      </c>
      <c r="B186" t="inlineStr">
        <is>
          <t>2026-05-20</t>
        </is>
      </c>
      <c r="C186" t="inlineStr">
        <is>
          <t>KIA</t>
        </is>
      </c>
      <c r="D186" t="inlineStr">
        <is>
          <t>LG</t>
        </is>
      </c>
      <c r="E186" t="n">
        <v>2002</v>
      </c>
      <c r="F186" t="n">
        <v>5002</v>
      </c>
      <c r="G186" t="n">
        <v>43.01</v>
      </c>
      <c r="H186" t="n">
        <v>0.430088234623321</v>
      </c>
      <c r="I186" t="inlineStr">
        <is>
          <t>elo_sp</t>
        </is>
      </c>
      <c r="J186">
        <f>MAX(H186,1-H186)</f>
        <v/>
      </c>
      <c r="K186">
        <f>_xlfn.IFS(
J186&lt;=0.55,"50~55",
J186&lt;=0.6,"55~60",
J186&lt;=0.65,"60~65",
J186&lt;=0.7,"65~70",
TRUE,"70~100"
)</f>
        <v/>
      </c>
      <c r="L186">
        <f>IF(H186&gt;=0.5,"HOME","AWAY")</f>
        <v/>
      </c>
      <c r="M186">
        <f>IF(AND(N186&lt;&gt;"", OR(N186=0, N186=1)), (J186-N186)^2, "")</f>
        <v/>
      </c>
      <c r="N186" t="inlineStr">
        <is>
          <t>cancel</t>
        </is>
      </c>
      <c r="O186">
        <f>IF(AND(N186&lt;&gt;"", OR(N186=0, N186=1)), IF(ROUND(H186,0)=N186, 1, 0), "")</f>
        <v/>
      </c>
    </row>
    <row r="187">
      <c r="A187" t="n">
        <v>20260231</v>
      </c>
      <c r="B187" t="inlineStr">
        <is>
          <t>2026-05-21</t>
        </is>
      </c>
      <c r="C187" t="inlineStr">
        <is>
          <t>두산</t>
        </is>
      </c>
      <c r="D187" t="inlineStr">
        <is>
          <t>NC</t>
        </is>
      </c>
      <c r="E187" t="n">
        <v>6002</v>
      </c>
      <c r="F187" t="n">
        <v>11001</v>
      </c>
      <c r="G187" t="n">
        <v>63.31</v>
      </c>
      <c r="H187" t="n">
        <v>0.633149786358988</v>
      </c>
      <c r="I187" t="inlineStr">
        <is>
          <t>elo_sp</t>
        </is>
      </c>
      <c r="J187">
        <f>MAX(H187,1-H187)</f>
        <v/>
      </c>
      <c r="K187">
        <f>_xlfn.IFS(
J187&lt;=0.55,"50~55",
J187&lt;=0.6,"55~60",
J187&lt;=0.65,"60~65",
J187&lt;=0.7,"65~70",
TRUE,"70~100"
)</f>
        <v/>
      </c>
      <c r="L187">
        <f>IF(H187&gt;=0.5,"HOME","AWAY")</f>
        <v/>
      </c>
      <c r="M187">
        <f>IF(AND(N187&lt;&gt;"", OR(N187=0, N187=1)), (J187-N187)^2, "")</f>
        <v/>
      </c>
      <c r="N187" t="n">
        <v>1</v>
      </c>
      <c r="O187">
        <f>IF(AND(N187&lt;&gt;"", OR(N187=0, N187=1)), IF(ROUND(H187,0)=N187, 1, 0), "")</f>
        <v/>
      </c>
    </row>
    <row r="188">
      <c r="A188" t="n">
        <v>20260232</v>
      </c>
      <c r="B188" t="inlineStr">
        <is>
          <t>2026-05-21</t>
        </is>
      </c>
      <c r="C188" t="inlineStr">
        <is>
          <t>키움</t>
        </is>
      </c>
      <c r="D188" t="inlineStr">
        <is>
          <t>SSG</t>
        </is>
      </c>
      <c r="E188" t="n">
        <v>10001</v>
      </c>
      <c r="F188" t="n">
        <v>9002</v>
      </c>
      <c r="G188" t="n">
        <v>75.73999999999999</v>
      </c>
      <c r="H188" t="n">
        <v>0.7574052619681708</v>
      </c>
      <c r="I188" t="inlineStr">
        <is>
          <t>elo_sp</t>
        </is>
      </c>
      <c r="J188">
        <f>MAX(H188,1-H188)</f>
        <v/>
      </c>
      <c r="K188">
        <f>_xlfn.IFS(
J188&lt;=0.55,"50~55",
J188&lt;=0.6,"55~60",
J188&lt;=0.65,"60~65",
J188&lt;=0.7,"65~70",
TRUE,"70~100"
)</f>
        <v/>
      </c>
      <c r="L188">
        <f>IF(H188&gt;=0.5,"HOME","AWAY")</f>
        <v/>
      </c>
      <c r="M188">
        <f>IF(AND(N188&lt;&gt;"", OR(N188=0, N188=1)), (J188-N188)^2, "")</f>
        <v/>
      </c>
      <c r="N188" t="n">
        <v>1</v>
      </c>
      <c r="O188">
        <f>IF(AND(N188&lt;&gt;"", OR(N188=0, N188=1)), IF(ROUND(H188,0)=N188, 1, 0), "")</f>
        <v/>
      </c>
    </row>
    <row r="189">
      <c r="A189" t="n">
        <v>20260233</v>
      </c>
      <c r="B189" t="inlineStr">
        <is>
          <t>2026-05-21</t>
        </is>
      </c>
      <c r="C189" t="inlineStr">
        <is>
          <t>한화</t>
        </is>
      </c>
      <c r="D189" t="inlineStr">
        <is>
          <t>롯데</t>
        </is>
      </c>
      <c r="E189" t="n">
        <v>7002</v>
      </c>
      <c r="F189" t="n">
        <v>3001</v>
      </c>
      <c r="G189" t="n">
        <v>50.47</v>
      </c>
      <c r="H189" t="n">
        <v>0.5046553258642419</v>
      </c>
      <c r="I189" t="inlineStr">
        <is>
          <t>elo_sp</t>
        </is>
      </c>
      <c r="J189">
        <f>MAX(H189,1-H189)</f>
        <v/>
      </c>
      <c r="K189">
        <f>_xlfn.IFS(
J189&lt;=0.55,"50~55",
J189&lt;=0.6,"55~60",
J189&lt;=0.65,"60~65",
J189&lt;=0.7,"65~70",
TRUE,"70~100"
)</f>
        <v/>
      </c>
      <c r="L189">
        <f>IF(H189&gt;=0.5,"HOME","AWAY")</f>
        <v/>
      </c>
      <c r="M189">
        <f>IF(AND(N189&lt;&gt;"", OR(N189=0, N189=1)), (J189-N189)^2, "")</f>
        <v/>
      </c>
      <c r="N189" t="n">
        <v>0</v>
      </c>
      <c r="O189">
        <f>IF(AND(N189&lt;&gt;"", OR(N189=0, N189=1)), IF(ROUND(H189,0)=N189, 1, 0), "")</f>
        <v/>
      </c>
    </row>
    <row r="190">
      <c r="A190" t="n">
        <v>20260234</v>
      </c>
      <c r="B190" t="inlineStr">
        <is>
          <t>2026-05-21</t>
        </is>
      </c>
      <c r="C190" t="inlineStr">
        <is>
          <t>삼성</t>
        </is>
      </c>
      <c r="D190" t="inlineStr">
        <is>
          <t>KT</t>
        </is>
      </c>
      <c r="E190" t="n">
        <v>1001</v>
      </c>
      <c r="F190" t="n">
        <v>12001</v>
      </c>
      <c r="G190" t="n">
        <v>49.92</v>
      </c>
      <c r="H190" t="n">
        <v>0.4992232070098261</v>
      </c>
      <c r="I190" t="inlineStr">
        <is>
          <t>elo_sp</t>
        </is>
      </c>
      <c r="J190">
        <f>MAX(H190,1-H190)</f>
        <v/>
      </c>
      <c r="K190">
        <f>_xlfn.IFS(
J190&lt;=0.55,"50~55",
J190&lt;=0.6,"55~60",
J190&lt;=0.65,"60~65",
J190&lt;=0.7,"65~70",
TRUE,"70~100"
)</f>
        <v/>
      </c>
      <c r="L190">
        <f>IF(H190&gt;=0.5,"HOME","AWAY")</f>
        <v/>
      </c>
      <c r="M190">
        <f>IF(AND(N190&lt;&gt;"", OR(N190=0, N190=1)), (J190-N190)^2, "")</f>
        <v/>
      </c>
      <c r="N190" t="n">
        <v>1</v>
      </c>
      <c r="O190">
        <f>IF(AND(N190&lt;&gt;"", OR(N190=0, N190=1)), IF(ROUND(H190,0)=N190, 1, 0), "")</f>
        <v/>
      </c>
    </row>
    <row r="191">
      <c r="A191" t="n">
        <v>20260235</v>
      </c>
      <c r="B191" t="inlineStr">
        <is>
          <t>2026-05-21</t>
        </is>
      </c>
      <c r="C191" t="inlineStr">
        <is>
          <t>KIA</t>
        </is>
      </c>
      <c r="D191" t="inlineStr">
        <is>
          <t>LG</t>
        </is>
      </c>
      <c r="E191" t="n">
        <v>2002</v>
      </c>
      <c r="F191" t="n">
        <v>5002</v>
      </c>
      <c r="G191" t="n">
        <v>58.24</v>
      </c>
      <c r="H191" t="n">
        <v>0.582413640211582</v>
      </c>
      <c r="I191" t="inlineStr">
        <is>
          <t>elo_sp</t>
        </is>
      </c>
      <c r="J191">
        <f>MAX(H191,1-H191)</f>
        <v/>
      </c>
      <c r="K191">
        <f>_xlfn.IFS(
J191&lt;=0.55,"50~55",
J191&lt;=0.6,"55~60",
J191&lt;=0.65,"60~65",
J191&lt;=0.7,"65~70",
TRUE,"70~100"
)</f>
        <v/>
      </c>
      <c r="L191">
        <f>IF(H191&gt;=0.5,"HOME","AWAY")</f>
        <v/>
      </c>
      <c r="M191">
        <f>IF(AND(N191&lt;&gt;"", OR(N191=0, N191=1)), (J191-N191)^2, "")</f>
        <v/>
      </c>
      <c r="N191" t="n">
        <v>0</v>
      </c>
      <c r="O191">
        <f>IF(AND(N191&lt;&gt;"", OR(N191=0, N191=1)), IF(ROUND(H191,0)=N191, 1, 0), "")</f>
        <v/>
      </c>
    </row>
    <row r="192">
      <c r="A192" t="n">
        <v>20260236</v>
      </c>
      <c r="B192" t="inlineStr">
        <is>
          <t>2026-05-22</t>
        </is>
      </c>
      <c r="C192" t="inlineStr">
        <is>
          <t>LG</t>
        </is>
      </c>
      <c r="D192" t="inlineStr">
        <is>
          <t>키움</t>
        </is>
      </c>
      <c r="E192" t="n">
        <v>5002</v>
      </c>
      <c r="F192" t="n">
        <v>10001</v>
      </c>
      <c r="G192" t="n">
        <v>46.22</v>
      </c>
      <c r="H192" t="n">
        <v>0.4621925024641946</v>
      </c>
      <c r="I192" t="inlineStr">
        <is>
          <t>elo_sp</t>
        </is>
      </c>
      <c r="J192">
        <f>MAX(H192,1-H192)</f>
        <v/>
      </c>
      <c r="K192">
        <f>_xlfn.IFS(
J192&lt;=0.55,"50~55",
J192&lt;=0.6,"55~60",
J192&lt;=0.65,"60~65",
J192&lt;=0.7,"65~70",
TRUE,"70~100"
)</f>
        <v/>
      </c>
      <c r="L192">
        <f>IF(H192&gt;=0.5,"HOME","AWAY")</f>
        <v/>
      </c>
      <c r="M192">
        <f>IF(AND(N192&lt;&gt;"", OR(N192=0, N192=1)), (J192-N192)^2, "")</f>
        <v/>
      </c>
      <c r="N192" t="n">
        <v>0</v>
      </c>
      <c r="O192">
        <f>IF(AND(N192&lt;&gt;"", OR(N192=0, N192=1)), IF(ROUND(H192,0)=N192, 1, 0), "")</f>
        <v/>
      </c>
    </row>
    <row r="193">
      <c r="A193" t="n">
        <v>20260237</v>
      </c>
      <c r="B193" t="inlineStr">
        <is>
          <t>2026-05-22</t>
        </is>
      </c>
      <c r="C193" t="inlineStr">
        <is>
          <t>KT</t>
        </is>
      </c>
      <c r="D193" t="inlineStr">
        <is>
          <t>NC</t>
        </is>
      </c>
      <c r="E193" t="n">
        <v>12001</v>
      </c>
      <c r="F193" t="n">
        <v>11001</v>
      </c>
      <c r="G193" t="n">
        <v>36.63</v>
      </c>
      <c r="H193" t="n">
        <v>0.3662582387045195</v>
      </c>
      <c r="I193" t="inlineStr">
        <is>
          <t>elo_sp</t>
        </is>
      </c>
      <c r="J193">
        <f>MAX(H193,1-H193)</f>
        <v/>
      </c>
      <c r="K193">
        <f>_xlfn.IFS(
J193&lt;=0.55,"50~55",
J193&lt;=0.6,"55~60",
J193&lt;=0.65,"60~65",
J193&lt;=0.7,"65~70",
TRUE,"70~100"
)</f>
        <v/>
      </c>
      <c r="L193">
        <f>IF(H193&gt;=0.5,"HOME","AWAY")</f>
        <v/>
      </c>
      <c r="M193">
        <f>IF(AND(N193&lt;&gt;"", OR(N193=0, N193=1)), (J193-N193)^2, "")</f>
        <v/>
      </c>
      <c r="N193" t="n">
        <v>1</v>
      </c>
      <c r="O193">
        <f>IF(AND(N193&lt;&gt;"", OR(N193=0, N193=1)), IF(ROUND(H193,0)=N193, 1, 0), "")</f>
        <v/>
      </c>
    </row>
    <row r="194">
      <c r="A194" t="n">
        <v>20260238</v>
      </c>
      <c r="B194" t="inlineStr">
        <is>
          <t>2026-05-22</t>
        </is>
      </c>
      <c r="C194" t="inlineStr">
        <is>
          <t>한화</t>
        </is>
      </c>
      <c r="D194" t="inlineStr">
        <is>
          <t>두산</t>
        </is>
      </c>
      <c r="E194" t="n">
        <v>7002</v>
      </c>
      <c r="F194" t="n">
        <v>6002</v>
      </c>
      <c r="G194" t="n">
        <v>45.68</v>
      </c>
      <c r="H194" t="n">
        <v>0.4568436069799178</v>
      </c>
      <c r="I194" t="inlineStr">
        <is>
          <t>elo_sp</t>
        </is>
      </c>
      <c r="J194">
        <f>MAX(H194,1-H194)</f>
        <v/>
      </c>
      <c r="K194">
        <f>_xlfn.IFS(
J194&lt;=0.55,"50~55",
J194&lt;=0.6,"55~60",
J194&lt;=0.65,"60~65",
J194&lt;=0.7,"65~70",
TRUE,"70~100"
)</f>
        <v/>
      </c>
      <c r="L194">
        <f>IF(H194&gt;=0.5,"HOME","AWAY")</f>
        <v/>
      </c>
      <c r="M194">
        <f>IF(AND(N194&lt;&gt;"", OR(N194=0, N194=1)), (J194-N194)^2, "")</f>
        <v/>
      </c>
      <c r="N194" t="n">
        <v>1</v>
      </c>
      <c r="O194">
        <f>IF(AND(N194&lt;&gt;"", OR(N194=0, N194=1)), IF(ROUND(H194,0)=N194, 1, 0), "")</f>
        <v/>
      </c>
    </row>
    <row r="195">
      <c r="A195" t="n">
        <v>20260239</v>
      </c>
      <c r="B195" t="inlineStr">
        <is>
          <t>2026-05-22</t>
        </is>
      </c>
      <c r="C195" t="inlineStr">
        <is>
          <t>KIA</t>
        </is>
      </c>
      <c r="D195" t="inlineStr">
        <is>
          <t>SSG</t>
        </is>
      </c>
      <c r="E195" t="n">
        <v>2002</v>
      </c>
      <c r="F195" t="n">
        <v>9002</v>
      </c>
      <c r="G195" t="n">
        <v>51.29</v>
      </c>
      <c r="H195" t="n">
        <v>0.5128556736512051</v>
      </c>
      <c r="I195" t="inlineStr">
        <is>
          <t>elo_sp</t>
        </is>
      </c>
      <c r="J195">
        <f>MAX(H195,1-H195)</f>
        <v/>
      </c>
      <c r="K195">
        <f>_xlfn.IFS(
J195&lt;=0.55,"50~55",
J195&lt;=0.6,"55~60",
J195&lt;=0.65,"60~65",
J195&lt;=0.7,"65~70",
TRUE,"70~100"
)</f>
        <v/>
      </c>
      <c r="L195">
        <f>IF(H195&gt;=0.5,"HOME","AWAY")</f>
        <v/>
      </c>
      <c r="M195">
        <f>IF(AND(N195&lt;&gt;"", OR(N195=0, N195=1)), (J195-N195)^2, "")</f>
        <v/>
      </c>
      <c r="N195" t="n">
        <v>1</v>
      </c>
      <c r="O195">
        <f>IF(AND(N195&lt;&gt;"", OR(N195=0, N195=1)), IF(ROUND(H195,0)=N195, 1, 0), "")</f>
        <v/>
      </c>
    </row>
    <row r="196">
      <c r="A196" t="n">
        <v>20260240</v>
      </c>
      <c r="B196" t="inlineStr">
        <is>
          <t>2026-05-22</t>
        </is>
      </c>
      <c r="C196" t="inlineStr">
        <is>
          <t>롯데</t>
        </is>
      </c>
      <c r="D196" t="inlineStr">
        <is>
          <t>삼성</t>
        </is>
      </c>
      <c r="E196" t="n">
        <v>3001</v>
      </c>
      <c r="F196" t="n">
        <v>1001</v>
      </c>
      <c r="G196" t="n">
        <v>46.47</v>
      </c>
      <c r="H196" t="n">
        <v>0.4646808249743677</v>
      </c>
      <c r="I196" t="inlineStr">
        <is>
          <t>elo_sp</t>
        </is>
      </c>
      <c r="J196">
        <f>MAX(H196,1-H196)</f>
        <v/>
      </c>
      <c r="K196">
        <f>_xlfn.IFS(
J196&lt;=0.55,"50~55",
J196&lt;=0.6,"55~60",
J196&lt;=0.65,"60~65",
J196&lt;=0.7,"65~70",
TRUE,"70~100"
)</f>
        <v/>
      </c>
      <c r="L196">
        <f>IF(H196&gt;=0.5,"HOME","AWAY")</f>
        <v/>
      </c>
      <c r="M196">
        <f>IF(AND(N196&lt;&gt;"", OR(N196=0, N196=1)), (J196-N196)^2, "")</f>
        <v/>
      </c>
      <c r="N196" t="n">
        <v>0</v>
      </c>
      <c r="O196">
        <f>IF(AND(N196&lt;&gt;"", OR(N196=0, N196=1)), IF(ROUND(H196,0)=N196, 1, 0), "")</f>
        <v/>
      </c>
    </row>
    <row r="197">
      <c r="A197" t="n">
        <v>20260241</v>
      </c>
      <c r="B197" t="inlineStr">
        <is>
          <t>2026-05-23</t>
        </is>
      </c>
      <c r="C197" t="inlineStr">
        <is>
          <t>LG</t>
        </is>
      </c>
      <c r="D197" t="inlineStr">
        <is>
          <t>키움</t>
        </is>
      </c>
      <c r="E197" t="n">
        <v>5002</v>
      </c>
      <c r="F197" t="n">
        <v>10001</v>
      </c>
      <c r="G197" t="n">
        <v>43.37</v>
      </c>
      <c r="H197" t="n">
        <v>0.4336731819442711</v>
      </c>
      <c r="I197" t="inlineStr">
        <is>
          <t>elo_sp</t>
        </is>
      </c>
      <c r="J197">
        <f>MAX(H197,1-H197)</f>
        <v/>
      </c>
      <c r="K197">
        <f>_xlfn.IFS(
J197&lt;=0.55,"50~55",
J197&lt;=0.6,"55~60",
J197&lt;=0.65,"60~65",
J197&lt;=0.7,"65~70",
TRUE,"70~100"
)</f>
        <v/>
      </c>
      <c r="L197">
        <f>IF(H197&gt;=0.5,"HOME","AWAY")</f>
        <v/>
      </c>
      <c r="M197">
        <f>IF(AND(N197&lt;&gt;"", OR(N197=0, N197=1)), (J197-N197)^2, "")</f>
        <v/>
      </c>
      <c r="N197" t="n">
        <v>1</v>
      </c>
      <c r="O197">
        <f>IF(AND(N197&lt;&gt;"", OR(N197=0, N197=1)), IF(ROUND(H197,0)=N197, 1, 0), "")</f>
        <v/>
      </c>
    </row>
    <row r="198">
      <c r="A198" t="n">
        <v>20260242</v>
      </c>
      <c r="B198" t="inlineStr">
        <is>
          <t>2026-05-23</t>
        </is>
      </c>
      <c r="C198" t="inlineStr">
        <is>
          <t>KT</t>
        </is>
      </c>
      <c r="D198" t="inlineStr">
        <is>
          <t>NC</t>
        </is>
      </c>
      <c r="E198" t="n">
        <v>12001</v>
      </c>
      <c r="F198" t="n">
        <v>11001</v>
      </c>
      <c r="G198" t="n">
        <v>46.58</v>
      </c>
      <c r="H198" t="n">
        <v>0.4657601558769209</v>
      </c>
      <c r="I198" t="inlineStr">
        <is>
          <t>elo_sp</t>
        </is>
      </c>
      <c r="J198">
        <f>MAX(H198,1-H198)</f>
        <v/>
      </c>
      <c r="K198">
        <f>_xlfn.IFS(
J198&lt;=0.55,"50~55",
J198&lt;=0.6,"55~60",
J198&lt;=0.65,"60~65",
J198&lt;=0.7,"65~70",
TRUE,"70~100"
)</f>
        <v/>
      </c>
      <c r="L198">
        <f>IF(H198&gt;=0.5,"HOME","AWAY")</f>
        <v/>
      </c>
      <c r="M198">
        <f>IF(AND(N198&lt;&gt;"", OR(N198=0, N198=1)), (J198-N198)^2, "")</f>
        <v/>
      </c>
      <c r="N198" t="n">
        <v>1</v>
      </c>
      <c r="O198">
        <f>IF(AND(N198&lt;&gt;"", OR(N198=0, N198=1)), IF(ROUND(H198,0)=N198, 1, 0), "")</f>
        <v/>
      </c>
    </row>
    <row r="199">
      <c r="A199" t="n">
        <v>20260243</v>
      </c>
      <c r="B199" t="inlineStr">
        <is>
          <t>2026-05-23</t>
        </is>
      </c>
      <c r="C199" t="inlineStr">
        <is>
          <t>한화</t>
        </is>
      </c>
      <c r="D199" t="inlineStr">
        <is>
          <t>두산</t>
        </is>
      </c>
      <c r="E199" t="n">
        <v>7002</v>
      </c>
      <c r="F199" t="n">
        <v>6002</v>
      </c>
      <c r="G199" t="n">
        <v>52.76</v>
      </c>
      <c r="H199" t="n">
        <v>0.5276204079704331</v>
      </c>
      <c r="I199" t="inlineStr">
        <is>
          <t>elo_sp</t>
        </is>
      </c>
      <c r="J199">
        <f>MAX(H199,1-H199)</f>
        <v/>
      </c>
      <c r="K199">
        <f>_xlfn.IFS(
J199&lt;=0.55,"50~55",
J199&lt;=0.6,"55~60",
J199&lt;=0.65,"60~65",
J199&lt;=0.7,"65~70",
TRUE,"70~100"
)</f>
        <v/>
      </c>
      <c r="L199">
        <f>IF(H199&gt;=0.5,"HOME","AWAY")</f>
        <v/>
      </c>
      <c r="M199">
        <f>IF(AND(N199&lt;&gt;"", OR(N199=0, N199=1)), (J199-N199)^2, "")</f>
        <v/>
      </c>
      <c r="N199" t="n">
        <v>1</v>
      </c>
      <c r="O199">
        <f>IF(AND(N199&lt;&gt;"", OR(N199=0, N199=1)), IF(ROUND(H199,0)=N199, 1, 0), "")</f>
        <v/>
      </c>
    </row>
    <row r="200">
      <c r="A200" t="n">
        <v>20260244</v>
      </c>
      <c r="B200" t="inlineStr">
        <is>
          <t>2026-05-23</t>
        </is>
      </c>
      <c r="C200" t="inlineStr">
        <is>
          <t>KIA</t>
        </is>
      </c>
      <c r="D200" t="inlineStr">
        <is>
          <t>SSG</t>
        </is>
      </c>
      <c r="E200" t="n">
        <v>2002</v>
      </c>
      <c r="F200" t="n">
        <v>9002</v>
      </c>
      <c r="G200" t="n">
        <v>51.48</v>
      </c>
      <c r="H200" t="n">
        <v>0.5148380837810158</v>
      </c>
      <c r="I200" t="inlineStr">
        <is>
          <t>elo_sp</t>
        </is>
      </c>
      <c r="J200">
        <f>MAX(H200,1-H200)</f>
        <v/>
      </c>
      <c r="K200">
        <f>_xlfn.IFS(
J200&lt;=0.55,"50~55",
J200&lt;=0.6,"55~60",
J200&lt;=0.65,"60~65",
J200&lt;=0.7,"65~70",
TRUE,"70~100"
)</f>
        <v/>
      </c>
      <c r="L200">
        <f>IF(H200&gt;=0.5,"HOME","AWAY")</f>
        <v/>
      </c>
      <c r="M200">
        <f>IF(AND(N200&lt;&gt;"", OR(N200=0, N200=1)), (J200-N200)^2, "")</f>
        <v/>
      </c>
      <c r="N200" t="n">
        <v>1</v>
      </c>
      <c r="O200">
        <f>IF(AND(N200&lt;&gt;"", OR(N200=0, N200=1)), IF(ROUND(H200,0)=N200, 1, 0), "")</f>
        <v/>
      </c>
    </row>
    <row r="201">
      <c r="A201" t="n">
        <v>20260245</v>
      </c>
      <c r="B201" t="inlineStr">
        <is>
          <t>2026-05-23</t>
        </is>
      </c>
      <c r="C201" t="inlineStr">
        <is>
          <t>롯데</t>
        </is>
      </c>
      <c r="D201" t="inlineStr">
        <is>
          <t>삼성</t>
        </is>
      </c>
      <c r="E201" t="n">
        <v>3001</v>
      </c>
      <c r="F201" t="n">
        <v>1001</v>
      </c>
      <c r="G201" t="n">
        <v>43.71</v>
      </c>
      <c r="H201" t="n">
        <v>0.4371442096479888</v>
      </c>
      <c r="I201" t="inlineStr">
        <is>
          <t>elo_sp</t>
        </is>
      </c>
      <c r="J201">
        <f>MAX(H201,1-H201)</f>
        <v/>
      </c>
      <c r="K201">
        <f>_xlfn.IFS(
J201&lt;=0.55,"50~55",
J201&lt;=0.6,"55~60",
J201&lt;=0.65,"60~65",
J201&lt;=0.7,"65~70",
TRUE,"70~100"
)</f>
        <v/>
      </c>
      <c r="L201">
        <f>IF(H201&gt;=0.5,"HOME","AWAY")</f>
        <v/>
      </c>
      <c r="M201">
        <f>IF(AND(N201&lt;&gt;"", OR(N201=0, N201=1)), (J201-N201)^2, "")</f>
        <v/>
      </c>
      <c r="N201" t="n">
        <v>1</v>
      </c>
      <c r="O201">
        <f>IF(AND(N201&lt;&gt;"", OR(N201=0, N201=1)), IF(ROUND(H201,0)=N201, 1, 0), "")</f>
        <v/>
      </c>
    </row>
    <row r="202">
      <c r="A202" t="n">
        <v>20260246</v>
      </c>
      <c r="B202" t="inlineStr">
        <is>
          <t>2026-05-24</t>
        </is>
      </c>
      <c r="C202" t="inlineStr">
        <is>
          <t>LG</t>
        </is>
      </c>
      <c r="D202" t="inlineStr">
        <is>
          <t>키움</t>
        </is>
      </c>
      <c r="E202" t="n">
        <v>5002</v>
      </c>
      <c r="F202" t="n">
        <v>10001</v>
      </c>
      <c r="G202" t="n">
        <v>38.38</v>
      </c>
      <c r="H202" t="n">
        <v>0.3837833489049133</v>
      </c>
      <c r="I202" t="inlineStr">
        <is>
          <t>elo_sp</t>
        </is>
      </c>
      <c r="J202">
        <f>MAX(H202,1-H202)</f>
        <v/>
      </c>
      <c r="K202">
        <f>_xlfn.IFS(
J202&lt;=0.55,"50~55",
J202&lt;=0.6,"55~60",
J202&lt;=0.65,"60~65",
J202&lt;=0.7,"65~70",
TRUE,"70~100"
)</f>
        <v/>
      </c>
      <c r="L202">
        <f>IF(H202&gt;=0.5,"HOME","AWAY")</f>
        <v/>
      </c>
      <c r="M202">
        <f>IF(AND(N202&lt;&gt;"", OR(N202=0, N202=1)), (J202-N202)^2, "")</f>
        <v/>
      </c>
      <c r="N202" t="n">
        <v>1</v>
      </c>
      <c r="O202">
        <f>IF(AND(N202&lt;&gt;"", OR(N202=0, N202=1)), IF(ROUND(H202,0)=N202, 1, 0), "")</f>
        <v/>
      </c>
    </row>
    <row r="203">
      <c r="A203" t="n">
        <v>20260247</v>
      </c>
      <c r="B203" t="inlineStr">
        <is>
          <t>2026-05-24</t>
        </is>
      </c>
      <c r="C203" t="inlineStr">
        <is>
          <t>KT</t>
        </is>
      </c>
      <c r="D203" t="inlineStr">
        <is>
          <t>NC</t>
        </is>
      </c>
      <c r="E203" t="n">
        <v>12001</v>
      </c>
      <c r="F203" t="n">
        <v>11001</v>
      </c>
      <c r="G203" t="n">
        <v>44.14</v>
      </c>
      <c r="H203" t="n">
        <v>0.4414429192658343</v>
      </c>
      <c r="I203" t="inlineStr">
        <is>
          <t>elo_sp</t>
        </is>
      </c>
      <c r="J203">
        <f>MAX(H203,1-H203)</f>
        <v/>
      </c>
      <c r="K203">
        <f>_xlfn.IFS(
J203&lt;=0.55,"50~55",
J203&lt;=0.6,"55~60",
J203&lt;=0.65,"60~65",
J203&lt;=0.7,"65~70",
TRUE,"70~100"
)</f>
        <v/>
      </c>
      <c r="L203">
        <f>IF(H203&gt;=0.5,"HOME","AWAY")</f>
        <v/>
      </c>
      <c r="M203">
        <f>IF(AND(N203&lt;&gt;"", OR(N203=0, N203=1)), (J203-N203)^2, "")</f>
        <v/>
      </c>
      <c r="N203" t="n">
        <v>0</v>
      </c>
      <c r="O203">
        <f>IF(AND(N203&lt;&gt;"", OR(N203=0, N203=1)), IF(ROUND(H203,0)=N203, 1, 0), "")</f>
        <v/>
      </c>
    </row>
    <row r="204">
      <c r="A204" t="n">
        <v>20260248</v>
      </c>
      <c r="B204" t="inlineStr">
        <is>
          <t>2026-05-24</t>
        </is>
      </c>
      <c r="C204" t="inlineStr">
        <is>
          <t>한화</t>
        </is>
      </c>
      <c r="D204" t="inlineStr">
        <is>
          <t>두산</t>
        </is>
      </c>
      <c r="E204" t="n">
        <v>7002</v>
      </c>
      <c r="F204" t="n">
        <v>6002</v>
      </c>
      <c r="G204" t="n">
        <v>58.62</v>
      </c>
      <c r="H204" t="n">
        <v>0.5861949647266</v>
      </c>
      <c r="I204" t="inlineStr">
        <is>
          <t>elo_sp</t>
        </is>
      </c>
      <c r="J204">
        <f>MAX(H204,1-H204)</f>
        <v/>
      </c>
      <c r="K204">
        <f>_xlfn.IFS(
J204&lt;=0.55,"50~55",
J204&lt;=0.6,"55~60",
J204&lt;=0.65,"60~65",
J204&lt;=0.7,"65~70",
TRUE,"70~100"
)</f>
        <v/>
      </c>
      <c r="L204">
        <f>IF(H204&gt;=0.5,"HOME","AWAY")</f>
        <v/>
      </c>
      <c r="M204">
        <f>IF(AND(N204&lt;&gt;"", OR(N204=0, N204=1)), (J204-N204)^2, "")</f>
        <v/>
      </c>
      <c r="N204" t="n">
        <v>1</v>
      </c>
      <c r="O204">
        <f>IF(AND(N204&lt;&gt;"", OR(N204=0, N204=1)), IF(ROUND(H204,0)=N204, 1, 0), "")</f>
        <v/>
      </c>
    </row>
    <row r="205">
      <c r="A205" t="n">
        <v>20260249</v>
      </c>
      <c r="B205" t="inlineStr">
        <is>
          <t>2026-05-24</t>
        </is>
      </c>
      <c r="C205" t="inlineStr">
        <is>
          <t>KIA</t>
        </is>
      </c>
      <c r="D205" t="inlineStr">
        <is>
          <t>SSG</t>
        </is>
      </c>
      <c r="E205" t="n">
        <v>2002</v>
      </c>
      <c r="F205" t="n">
        <v>9002</v>
      </c>
      <c r="G205" t="n">
        <v>76.31999999999999</v>
      </c>
      <c r="H205" t="n">
        <v>0.7631603519578757</v>
      </c>
      <c r="I205" t="inlineStr">
        <is>
          <t>elo_sp</t>
        </is>
      </c>
      <c r="J205">
        <f>MAX(H205,1-H205)</f>
        <v/>
      </c>
      <c r="K205">
        <f>_xlfn.IFS(
J205&lt;=0.55,"50~55",
J205&lt;=0.6,"55~60",
J205&lt;=0.65,"60~65",
J205&lt;=0.7,"65~70",
TRUE,"70~100"
)</f>
        <v/>
      </c>
      <c r="L205">
        <f>IF(H205&gt;=0.5,"HOME","AWAY")</f>
        <v/>
      </c>
      <c r="M205">
        <f>IF(AND(N205&lt;&gt;"", OR(N205=0, N205=1)), (J205-N205)^2, "")</f>
        <v/>
      </c>
      <c r="N205" t="n">
        <v>1</v>
      </c>
      <c r="O205">
        <f>IF(AND(N205&lt;&gt;"", OR(N205=0, N205=1)), IF(ROUND(H205,0)=N205, 1, 0), "")</f>
        <v/>
      </c>
    </row>
    <row r="206">
      <c r="A206" t="n">
        <v>20260250</v>
      </c>
      <c r="B206" t="inlineStr">
        <is>
          <t>2026-05-24</t>
        </is>
      </c>
      <c r="C206" t="inlineStr">
        <is>
          <t>롯데</t>
        </is>
      </c>
      <c r="D206" t="inlineStr">
        <is>
          <t>삼성</t>
        </is>
      </c>
      <c r="E206" t="n">
        <v>3001</v>
      </c>
      <c r="F206" t="n">
        <v>1001</v>
      </c>
      <c r="G206" t="n">
        <v>50.72</v>
      </c>
      <c r="H206" t="n">
        <v>0.5072443902690881</v>
      </c>
      <c r="I206" t="inlineStr">
        <is>
          <t>elo_sp</t>
        </is>
      </c>
      <c r="J206">
        <f>MAX(H206,1-H206)</f>
        <v/>
      </c>
      <c r="K206">
        <f>_xlfn.IFS(
J206&lt;=0.55,"50~55",
J206&lt;=0.6,"55~60",
J206&lt;=0.65,"60~65",
J206&lt;=0.7,"65~70",
TRUE,"70~100"
)</f>
        <v/>
      </c>
      <c r="L206">
        <f>IF(H206&gt;=0.5,"HOME","AWAY")</f>
        <v/>
      </c>
      <c r="M206">
        <f>IF(AND(N206&lt;&gt;"", OR(N206=0, N206=1)), (J206-N206)^2, "")</f>
        <v/>
      </c>
      <c r="N206" t="n">
        <v>0</v>
      </c>
      <c r="O206">
        <f>IF(AND(N206&lt;&gt;"", OR(N206=0, N206=1)), IF(ROUND(H206,0)=N206, 1, 0), "")</f>
        <v/>
      </c>
    </row>
    <row r="207">
      <c r="A207" t="n">
        <v>20260251</v>
      </c>
      <c r="B207" t="inlineStr">
        <is>
          <t>2026-05-26</t>
        </is>
      </c>
      <c r="C207" t="inlineStr">
        <is>
          <t>두산</t>
        </is>
      </c>
      <c r="D207" t="inlineStr">
        <is>
          <t>KT</t>
        </is>
      </c>
      <c r="E207" t="n">
        <v>6002</v>
      </c>
      <c r="F207" t="n">
        <v>12001</v>
      </c>
      <c r="G207" t="n">
        <v>57</v>
      </c>
      <c r="H207" t="n">
        <v>0.5700060191523875</v>
      </c>
      <c r="I207" t="inlineStr">
        <is>
          <t>elo_sp</t>
        </is>
      </c>
      <c r="J207">
        <f>MAX(H207,1-H207)</f>
        <v/>
      </c>
      <c r="K207">
        <f>_xlfn.IFS(
J207&lt;=0.55,"50~55",
J207&lt;=0.6,"55~60",
J207&lt;=0.65,"60~65",
J207&lt;=0.7,"65~70",
TRUE,"70~100"
)</f>
        <v/>
      </c>
      <c r="L207">
        <f>IF(H207&gt;=0.5,"HOME","AWAY")</f>
        <v/>
      </c>
      <c r="M207">
        <f>IF(AND(N207&lt;&gt;"", OR(N207=0, N207=1)), (J207-N207)^2, "")</f>
        <v/>
      </c>
      <c r="N207" t="n">
        <v>0</v>
      </c>
      <c r="O207">
        <f>IF(AND(N207&lt;&gt;"", OR(N207=0, N207=1)), IF(ROUND(H207,0)=N207, 1, 0), "")</f>
        <v/>
      </c>
    </row>
    <row r="208">
      <c r="A208" t="n">
        <v>20260252</v>
      </c>
      <c r="B208" t="inlineStr">
        <is>
          <t>2026-05-26</t>
        </is>
      </c>
      <c r="C208" t="inlineStr">
        <is>
          <t>키움</t>
        </is>
      </c>
      <c r="D208" t="inlineStr">
        <is>
          <t>KIA</t>
        </is>
      </c>
      <c r="E208" t="n">
        <v>10001</v>
      </c>
      <c r="F208" t="n">
        <v>2002</v>
      </c>
      <c r="G208" t="n">
        <v>83.2</v>
      </c>
      <c r="H208" t="n">
        <v>0.8319906696089847</v>
      </c>
      <c r="I208" t="inlineStr">
        <is>
          <t>elo_sp</t>
        </is>
      </c>
      <c r="J208">
        <f>MAX(H208,1-H208)</f>
        <v/>
      </c>
      <c r="K208">
        <f>_xlfn.IFS(
J208&lt;=0.55,"50~55",
J208&lt;=0.6,"55~60",
J208&lt;=0.65,"60~65",
J208&lt;=0.7,"65~70",
TRUE,"70~100"
)</f>
        <v/>
      </c>
      <c r="L208">
        <f>IF(H208&gt;=0.5,"HOME","AWAY")</f>
        <v/>
      </c>
      <c r="M208">
        <f>IF(AND(N208&lt;&gt;"", OR(N208=0, N208=1)), (J208-N208)^2, "")</f>
        <v/>
      </c>
      <c r="N208" t="n">
        <v>0</v>
      </c>
      <c r="O208">
        <f>IF(AND(N208&lt;&gt;"", OR(N208=0, N208=1)), IF(ROUND(H208,0)=N208, 1, 0), "")</f>
        <v/>
      </c>
    </row>
    <row r="209">
      <c r="A209" t="n">
        <v>20260253</v>
      </c>
      <c r="B209" t="inlineStr">
        <is>
          <t>2026-05-26</t>
        </is>
      </c>
      <c r="C209" t="inlineStr">
        <is>
          <t>SSG</t>
        </is>
      </c>
      <c r="D209" t="inlineStr">
        <is>
          <t>삼성</t>
        </is>
      </c>
      <c r="E209" t="n">
        <v>9002</v>
      </c>
      <c r="F209" t="n">
        <v>1001</v>
      </c>
      <c r="G209" t="n">
        <v>30.97</v>
      </c>
      <c r="H209" t="n">
        <v>0.3096860741230513</v>
      </c>
      <c r="I209" t="inlineStr">
        <is>
          <t>elo_sp</t>
        </is>
      </c>
      <c r="J209">
        <f>MAX(H209,1-H209)</f>
        <v/>
      </c>
      <c r="K209">
        <f>_xlfn.IFS(
J209&lt;=0.55,"50~55",
J209&lt;=0.6,"55~60",
J209&lt;=0.65,"60~65",
J209&lt;=0.7,"65~70",
TRUE,"70~100"
)</f>
        <v/>
      </c>
      <c r="L209">
        <f>IF(H209&gt;=0.5,"HOME","AWAY")</f>
        <v/>
      </c>
      <c r="M209">
        <f>IF(AND(N209&lt;&gt;"", OR(N209=0, N209=1)), (J209-N209)^2, "")</f>
        <v/>
      </c>
      <c r="N209" t="inlineStr">
        <is>
          <t>cancel</t>
        </is>
      </c>
      <c r="O209">
        <f>IF(AND(N209&lt;&gt;"", OR(N209=0, N209=1)), IF(ROUND(H209,0)=N209, 1, 0), "")</f>
        <v/>
      </c>
    </row>
    <row r="210">
      <c r="A210" t="n">
        <v>20260254</v>
      </c>
      <c r="B210" t="inlineStr">
        <is>
          <t>2026-05-26</t>
        </is>
      </c>
      <c r="C210" t="inlineStr">
        <is>
          <t>롯데</t>
        </is>
      </c>
      <c r="D210" t="inlineStr">
        <is>
          <t>LG</t>
        </is>
      </c>
      <c r="E210" t="n">
        <v>3001</v>
      </c>
      <c r="F210" t="n">
        <v>5002</v>
      </c>
      <c r="G210" t="n">
        <v>53.44</v>
      </c>
      <c r="H210" t="n">
        <v>0.5344126973283649</v>
      </c>
      <c r="I210" t="inlineStr">
        <is>
          <t>elo_sp</t>
        </is>
      </c>
      <c r="J210">
        <f>MAX(H210,1-H210)</f>
        <v/>
      </c>
      <c r="K210">
        <f>_xlfn.IFS(
J210&lt;=0.55,"50~55",
J210&lt;=0.6,"55~60",
J210&lt;=0.65,"60~65",
J210&lt;=0.7,"65~70",
TRUE,"70~100"
)</f>
        <v/>
      </c>
      <c r="L210">
        <f>IF(H210&gt;=0.5,"HOME","AWAY")</f>
        <v/>
      </c>
      <c r="M210">
        <f>IF(AND(N210&lt;&gt;"", OR(N210=0, N210=1)), (J210-N210)^2, "")</f>
        <v/>
      </c>
      <c r="N210" t="n">
        <v>0</v>
      </c>
      <c r="O210">
        <f>IF(AND(N210&lt;&gt;"", OR(N210=0, N210=1)), IF(ROUND(H210,0)=N210, 1, 0), "")</f>
        <v/>
      </c>
    </row>
    <row r="211">
      <c r="A211" t="n">
        <v>20260255</v>
      </c>
      <c r="B211" t="inlineStr">
        <is>
          <t>2026-05-26</t>
        </is>
      </c>
      <c r="C211" t="inlineStr">
        <is>
          <t>NC</t>
        </is>
      </c>
      <c r="D211" t="inlineStr">
        <is>
          <t>한화</t>
        </is>
      </c>
      <c r="E211" t="n">
        <v>11001</v>
      </c>
      <c r="F211" t="n">
        <v>7002</v>
      </c>
      <c r="G211" t="n">
        <v>42.96</v>
      </c>
      <c r="H211" t="n">
        <v>0.4295792783876461</v>
      </c>
      <c r="I211" t="inlineStr">
        <is>
          <t>elo_sp</t>
        </is>
      </c>
      <c r="J211">
        <f>MAX(H211,1-H211)</f>
        <v/>
      </c>
      <c r="K211">
        <f>_xlfn.IFS(
J211&lt;=0.55,"50~55",
J211&lt;=0.6,"55~60",
J211&lt;=0.65,"60~65",
J211&lt;=0.7,"65~70",
TRUE,"70~100"
)</f>
        <v/>
      </c>
      <c r="L211">
        <f>IF(H211&gt;=0.5,"HOME","AWAY")</f>
        <v/>
      </c>
      <c r="M211">
        <f>IF(AND(N211&lt;&gt;"", OR(N211=0, N211=1)), (J211-N211)^2, "")</f>
        <v/>
      </c>
      <c r="N211" t="inlineStr">
        <is>
          <t>cancel</t>
        </is>
      </c>
      <c r="O211">
        <f>IF(AND(N211&lt;&gt;"", OR(N211=0, N211=1)), IF(ROUND(H211,0)=N211, 1, 0), "")</f>
        <v/>
      </c>
    </row>
    <row r="212">
      <c r="A212" t="n">
        <v>20260256</v>
      </c>
      <c r="B212" t="inlineStr">
        <is>
          <t>2026-05-27</t>
        </is>
      </c>
      <c r="C212" t="inlineStr">
        <is>
          <t>두산</t>
        </is>
      </c>
      <c r="D212" t="inlineStr">
        <is>
          <t>KT</t>
        </is>
      </c>
      <c r="E212" t="n">
        <v>6002</v>
      </c>
      <c r="F212" t="n">
        <v>12001</v>
      </c>
      <c r="G212" t="n">
        <v>42.24</v>
      </c>
      <c r="H212" t="n">
        <v>0.4223976108953089</v>
      </c>
      <c r="I212" t="inlineStr">
        <is>
          <t>elo_full</t>
        </is>
      </c>
      <c r="J212">
        <f>MAX(H212,1-H212)</f>
        <v/>
      </c>
      <c r="K212">
        <f>_xlfn.IFS(
J212&lt;=0.55,"50~55",
J212&lt;=0.6,"55~60",
J212&lt;=0.65,"60~65",
J212&lt;=0.7,"65~70",
TRUE,"70~100"
)</f>
        <v/>
      </c>
      <c r="L212">
        <f>IF(H212&gt;=0.5,"HOME","AWAY")</f>
        <v/>
      </c>
      <c r="M212">
        <f>IF(AND(N212&lt;&gt;"", OR(N212=0, N212=1)), (J212-N212)^2, "")</f>
        <v/>
      </c>
      <c r="N212" t="n">
        <v>1</v>
      </c>
      <c r="O212">
        <f>IF(AND(N212&lt;&gt;"", OR(N212=0, N212=1)), IF(ROUND(H212,0)=N212, 1, 0), "")</f>
        <v/>
      </c>
    </row>
    <row r="213">
      <c r="A213" t="n">
        <v>20260257</v>
      </c>
      <c r="B213" t="inlineStr">
        <is>
          <t>2026-05-27</t>
        </is>
      </c>
      <c r="C213" t="inlineStr">
        <is>
          <t>키움</t>
        </is>
      </c>
      <c r="D213" t="inlineStr">
        <is>
          <t>KIA</t>
        </is>
      </c>
      <c r="E213" t="n">
        <v>10001</v>
      </c>
      <c r="F213" t="n">
        <v>2002</v>
      </c>
      <c r="G213" t="n">
        <v>38.1</v>
      </c>
      <c r="H213" t="n">
        <v>0.3809652290735916</v>
      </c>
      <c r="I213" t="inlineStr">
        <is>
          <t>elo_full</t>
        </is>
      </c>
      <c r="J213">
        <f>MAX(H213,1-H213)</f>
        <v/>
      </c>
      <c r="K213">
        <f>_xlfn.IFS(
J213&lt;=0.55,"50~55",
J213&lt;=0.6,"55~60",
J213&lt;=0.65,"60~65",
J213&lt;=0.7,"65~70",
TRUE,"70~100"
)</f>
        <v/>
      </c>
      <c r="L213">
        <f>IF(H213&gt;=0.5,"HOME","AWAY")</f>
        <v/>
      </c>
      <c r="M213">
        <f>IF(AND(N213&lt;&gt;"", OR(N213=0, N213=1)), (J213-N213)^2, "")</f>
        <v/>
      </c>
      <c r="N213" t="n">
        <v>0</v>
      </c>
      <c r="O213">
        <f>IF(AND(N213&lt;&gt;"", OR(N213=0, N213=1)), IF(ROUND(H213,0)=N213, 1, 0), "")</f>
        <v/>
      </c>
    </row>
    <row r="214">
      <c r="A214" t="n">
        <v>20260258</v>
      </c>
      <c r="B214" t="inlineStr">
        <is>
          <t>2026-05-27</t>
        </is>
      </c>
      <c r="C214" t="inlineStr">
        <is>
          <t>SSG</t>
        </is>
      </c>
      <c r="D214" t="inlineStr">
        <is>
          <t>삼성</t>
        </is>
      </c>
      <c r="E214" t="n">
        <v>9002</v>
      </c>
      <c r="F214" t="n">
        <v>1001</v>
      </c>
      <c r="G214" t="n">
        <v>20.74</v>
      </c>
      <c r="H214" t="n">
        <v>0.2073629709937675</v>
      </c>
      <c r="I214" t="inlineStr">
        <is>
          <t>elo_full</t>
        </is>
      </c>
      <c r="J214">
        <f>MAX(H214,1-H214)</f>
        <v/>
      </c>
      <c r="K214">
        <f>_xlfn.IFS(
J214&lt;=0.55,"50~55",
J214&lt;=0.6,"55~60",
J214&lt;=0.65,"60~65",
J214&lt;=0.7,"65~70",
TRUE,"70~100"
)</f>
        <v/>
      </c>
      <c r="L214">
        <f>IF(H214&gt;=0.5,"HOME","AWAY")</f>
        <v/>
      </c>
      <c r="M214">
        <f>IF(AND(N214&lt;&gt;"", OR(N214=0, N214=1)), (J214-N214)^2, "")</f>
        <v/>
      </c>
      <c r="N214" t="n">
        <v>0</v>
      </c>
      <c r="O214">
        <f>IF(AND(N214&lt;&gt;"", OR(N214=0, N214=1)), IF(ROUND(H214,0)=N214, 1, 0), "")</f>
        <v/>
      </c>
    </row>
    <row r="215">
      <c r="A215" t="n">
        <v>20260259</v>
      </c>
      <c r="B215" t="inlineStr">
        <is>
          <t>2026-05-27</t>
        </is>
      </c>
      <c r="C215" t="inlineStr">
        <is>
          <t>롯데</t>
        </is>
      </c>
      <c r="D215" t="inlineStr">
        <is>
          <t>LG</t>
        </is>
      </c>
      <c r="E215" t="n">
        <v>3001</v>
      </c>
      <c r="F215" t="n">
        <v>5002</v>
      </c>
      <c r="G215" t="n">
        <v>59.92</v>
      </c>
      <c r="H215" t="n">
        <v>0.599181647865501</v>
      </c>
      <c r="I215" t="inlineStr">
        <is>
          <t>elo_full</t>
        </is>
      </c>
      <c r="J215">
        <f>MAX(H215,1-H215)</f>
        <v/>
      </c>
      <c r="K215">
        <f>_xlfn.IFS(
J215&lt;=0.55,"50~55",
J215&lt;=0.6,"55~60",
J215&lt;=0.65,"60~65",
J215&lt;=0.7,"65~70",
TRUE,"70~100"
)</f>
        <v/>
      </c>
      <c r="L215">
        <f>IF(H215&gt;=0.5,"HOME","AWAY")</f>
        <v/>
      </c>
      <c r="M215">
        <f>IF(AND(N215&lt;&gt;"", OR(N215=0, N215=1)), (J215-N215)^2, "")</f>
        <v/>
      </c>
      <c r="N215" t="n">
        <v>0</v>
      </c>
      <c r="O215">
        <f>IF(AND(N215&lt;&gt;"", OR(N215=0, N215=1)), IF(ROUND(H215,0)=N215, 1, 0), "")</f>
        <v/>
      </c>
    </row>
    <row r="216">
      <c r="A216" t="n">
        <v>20260260</v>
      </c>
      <c r="B216" t="inlineStr">
        <is>
          <t>2026-05-27</t>
        </is>
      </c>
      <c r="C216" t="inlineStr">
        <is>
          <t>NC</t>
        </is>
      </c>
      <c r="D216" t="inlineStr">
        <is>
          <t>한화</t>
        </is>
      </c>
      <c r="E216" t="n">
        <v>11001</v>
      </c>
      <c r="F216" t="n">
        <v>7002</v>
      </c>
      <c r="G216" t="n">
        <v>44.41</v>
      </c>
      <c r="H216" t="n">
        <v>0.4440588662255105</v>
      </c>
      <c r="I216" t="inlineStr">
        <is>
          <t>elo_full</t>
        </is>
      </c>
      <c r="J216">
        <f>MAX(H216,1-H216)</f>
        <v/>
      </c>
      <c r="K216">
        <f>_xlfn.IFS(
J216&lt;=0.55,"50~55",
J216&lt;=0.6,"55~60",
J216&lt;=0.65,"60~65",
J216&lt;=0.7,"65~70",
TRUE,"70~100"
)</f>
        <v/>
      </c>
      <c r="L216">
        <f>IF(H216&gt;=0.5,"HOME","AWAY")</f>
        <v/>
      </c>
      <c r="M216">
        <f>IF(AND(N216&lt;&gt;"", OR(N216=0, N216=1)), (J216-N216)^2, "")</f>
        <v/>
      </c>
      <c r="N216" t="n">
        <v>1</v>
      </c>
      <c r="O216">
        <f>IF(AND(N216&lt;&gt;"", OR(N216=0, N216=1)), IF(ROUND(H216,0)=N216, 1, 0), "")</f>
        <v/>
      </c>
    </row>
    <row r="217">
      <c r="A217" t="n">
        <v>20260261</v>
      </c>
      <c r="B217" t="inlineStr">
        <is>
          <t>2026-05-28</t>
        </is>
      </c>
      <c r="C217" t="inlineStr">
        <is>
          <t>두산</t>
        </is>
      </c>
      <c r="D217" t="inlineStr">
        <is>
          <t>KT</t>
        </is>
      </c>
      <c r="E217" t="n">
        <v>6002</v>
      </c>
      <c r="F217" t="n">
        <v>12001</v>
      </c>
      <c r="G217" t="n">
        <v>57.79</v>
      </c>
      <c r="H217" t="n">
        <v>0.5778839309521245</v>
      </c>
      <c r="I217" t="inlineStr">
        <is>
          <t>elo_sp</t>
        </is>
      </c>
      <c r="J217">
        <f>MAX(H217,1-H217)</f>
        <v/>
      </c>
      <c r="K217">
        <f>_xlfn.IFS(
J217&lt;=0.55,"50~55",
J217&lt;=0.6,"55~60",
J217&lt;=0.65,"60~65",
J217&lt;=0.7,"65~70",
TRUE,"70~100"
)</f>
        <v/>
      </c>
      <c r="L217">
        <f>IF(H217&gt;=0.5,"HOME","AWAY")</f>
        <v/>
      </c>
      <c r="M217">
        <f>IF(AND(N217&lt;&gt;"", OR(N217=0, N217=1)), (J217-N217)^2, "")</f>
        <v/>
      </c>
      <c r="N217" t="n">
        <v>0</v>
      </c>
      <c r="O217">
        <f>IF(AND(N217&lt;&gt;"", OR(N217=0, N217=1)), IF(ROUND(H217,0)=N217, 1, 0), "")</f>
        <v/>
      </c>
    </row>
    <row r="218">
      <c r="A218" t="n">
        <v>20260262</v>
      </c>
      <c r="B218" t="inlineStr">
        <is>
          <t>2026-05-28</t>
        </is>
      </c>
      <c r="C218" t="inlineStr">
        <is>
          <t>키움</t>
        </is>
      </c>
      <c r="D218" t="inlineStr">
        <is>
          <t>KIA</t>
        </is>
      </c>
      <c r="E218" t="n">
        <v>10001</v>
      </c>
      <c r="F218" t="n">
        <v>2002</v>
      </c>
      <c r="G218" t="n">
        <v>70.2</v>
      </c>
      <c r="H218" t="n">
        <v>0.7020440646037398</v>
      </c>
      <c r="I218" t="inlineStr">
        <is>
          <t>elo_sp</t>
        </is>
      </c>
      <c r="J218">
        <f>MAX(H218,1-H218)</f>
        <v/>
      </c>
      <c r="K218">
        <f>_xlfn.IFS(
J218&lt;=0.55,"50~55",
J218&lt;=0.6,"55~60",
J218&lt;=0.65,"60~65",
J218&lt;=0.7,"65~70",
TRUE,"70~100"
)</f>
        <v/>
      </c>
      <c r="L218">
        <f>IF(H218&gt;=0.5,"HOME","AWAY")</f>
        <v/>
      </c>
      <c r="M218">
        <f>IF(AND(N218&lt;&gt;"", OR(N218=0, N218=1)), (J218-N218)^2, "")</f>
        <v/>
      </c>
      <c r="N218" t="n">
        <v>0</v>
      </c>
      <c r="O218">
        <f>IF(AND(N218&lt;&gt;"", OR(N218=0, N218=1)), IF(ROUND(H218,0)=N218, 1, 0), "")</f>
        <v/>
      </c>
    </row>
    <row r="219">
      <c r="A219" t="n">
        <v>20260263</v>
      </c>
      <c r="B219" t="inlineStr">
        <is>
          <t>2026-05-28</t>
        </is>
      </c>
      <c r="C219" t="inlineStr">
        <is>
          <t>SSG</t>
        </is>
      </c>
      <c r="D219" t="inlineStr">
        <is>
          <t>삼성</t>
        </is>
      </c>
      <c r="E219" t="n">
        <v>9002</v>
      </c>
      <c r="F219" t="n">
        <v>1001</v>
      </c>
      <c r="G219" t="n">
        <v>29.39</v>
      </c>
      <c r="H219" t="n">
        <v>0.2938859123665157</v>
      </c>
      <c r="I219" t="inlineStr">
        <is>
          <t>elo_sp</t>
        </is>
      </c>
      <c r="J219">
        <f>MAX(H219,1-H219)</f>
        <v/>
      </c>
      <c r="K219">
        <f>_xlfn.IFS(
J219&lt;=0.55,"50~55",
J219&lt;=0.6,"55~60",
J219&lt;=0.65,"60~65",
J219&lt;=0.7,"65~70",
TRUE,"70~100"
)</f>
        <v/>
      </c>
      <c r="L219">
        <f>IF(H219&gt;=0.5,"HOME","AWAY")</f>
        <v/>
      </c>
      <c r="M219">
        <f>IF(AND(N219&lt;&gt;"", OR(N219=0, N219=1)), (J219-N219)^2, "")</f>
        <v/>
      </c>
      <c r="N219" t="n">
        <v>0</v>
      </c>
      <c r="O219">
        <f>IF(AND(N219&lt;&gt;"", OR(N219=0, N219=1)), IF(ROUND(H219,0)=N219, 1, 0), "")</f>
        <v/>
      </c>
    </row>
    <row r="220">
      <c r="A220" t="n">
        <v>20260264</v>
      </c>
      <c r="B220" t="inlineStr">
        <is>
          <t>2026-05-28</t>
        </is>
      </c>
      <c r="C220" t="inlineStr">
        <is>
          <t>롯데</t>
        </is>
      </c>
      <c r="D220" t="inlineStr">
        <is>
          <t>LG</t>
        </is>
      </c>
      <c r="E220" t="n">
        <v>3001</v>
      </c>
      <c r="F220" t="n">
        <v>5002</v>
      </c>
      <c r="G220" t="n">
        <v>58.42</v>
      </c>
      <c r="H220" t="n">
        <v>0.5841732462870592</v>
      </c>
      <c r="I220" t="inlineStr">
        <is>
          <t>elo_sp</t>
        </is>
      </c>
      <c r="J220">
        <f>MAX(H220,1-H220)</f>
        <v/>
      </c>
      <c r="K220">
        <f>_xlfn.IFS(
J220&lt;=0.55,"50~55",
J220&lt;=0.6,"55~60",
J220&lt;=0.65,"60~65",
J220&lt;=0.7,"65~70",
TRUE,"70~100"
)</f>
        <v/>
      </c>
      <c r="L220">
        <f>IF(H220&gt;=0.5,"HOME","AWAY")</f>
        <v/>
      </c>
      <c r="M220">
        <f>IF(AND(N220&lt;&gt;"", OR(N220=0, N220=1)), (J220-N220)^2, "")</f>
        <v/>
      </c>
      <c r="N220" t="n">
        <v>1</v>
      </c>
      <c r="O220">
        <f>IF(AND(N220&lt;&gt;"", OR(N220=0, N220=1)), IF(ROUND(H220,0)=N220, 1, 0), "")</f>
        <v/>
      </c>
    </row>
    <row r="221">
      <c r="A221" t="n">
        <v>20260265</v>
      </c>
      <c r="B221" t="inlineStr">
        <is>
          <t>2026-05-28</t>
        </is>
      </c>
      <c r="C221" t="inlineStr">
        <is>
          <t>NC</t>
        </is>
      </c>
      <c r="D221" t="inlineStr">
        <is>
          <t>한화</t>
        </is>
      </c>
      <c r="E221" t="n">
        <v>11001</v>
      </c>
      <c r="F221" t="n">
        <v>7002</v>
      </c>
      <c r="G221" t="n">
        <v>48.92</v>
      </c>
      <c r="H221" t="n">
        <v>0.4891740538322265</v>
      </c>
      <c r="I221" t="inlineStr">
        <is>
          <t>elo_sp</t>
        </is>
      </c>
      <c r="J221">
        <f>MAX(H221,1-H221)</f>
        <v/>
      </c>
      <c r="K221">
        <f>_xlfn.IFS(
J221&lt;=0.55,"50~55",
J221&lt;=0.6,"55~60",
J221&lt;=0.65,"60~65",
J221&lt;=0.7,"65~70",
TRUE,"70~100"
)</f>
        <v/>
      </c>
      <c r="L221">
        <f>IF(H221&gt;=0.5,"HOME","AWAY")</f>
        <v/>
      </c>
      <c r="M221">
        <f>IF(AND(N221&lt;&gt;"", OR(N221=0, N221=1)), (J221-N221)^2, "")</f>
        <v/>
      </c>
      <c r="N221" t="n">
        <v>0</v>
      </c>
      <c r="O221">
        <f>IF(AND(N221&lt;&gt;"", OR(N221=0, N221=1)), IF(ROUND(H221,0)=N221, 1, 0), "")</f>
        <v/>
      </c>
    </row>
    <row r="222">
      <c r="A222" t="n">
        <v>20260266</v>
      </c>
      <c r="B222" t="inlineStr">
        <is>
          <t>2026-05-29</t>
        </is>
      </c>
      <c r="C222" t="inlineStr">
        <is>
          <t>LG</t>
        </is>
      </c>
      <c r="D222" t="inlineStr">
        <is>
          <t>KIA</t>
        </is>
      </c>
      <c r="E222" t="n">
        <v>5002</v>
      </c>
      <c r="F222" t="n">
        <v>2002</v>
      </c>
      <c r="G222" t="n">
        <v>67.45999999999999</v>
      </c>
      <c r="H222" t="n">
        <v>0.6746390316024382</v>
      </c>
      <c r="I222" t="inlineStr">
        <is>
          <t>elo_sp</t>
        </is>
      </c>
      <c r="J222">
        <f>MAX(H222,1-H222)</f>
        <v/>
      </c>
      <c r="K222">
        <f>_xlfn.IFS(
J222&lt;=0.55,"50~55",
J222&lt;=0.6,"55~60",
J222&lt;=0.65,"60~65",
J222&lt;=0.7,"65~70",
TRUE,"70~100"
)</f>
        <v/>
      </c>
      <c r="L222">
        <f>IF(H222&gt;=0.5,"HOME","AWAY")</f>
        <v/>
      </c>
      <c r="M222">
        <f>IF(AND(N222&lt;&gt;"", OR(N222=0, N222=1)), (J222-N222)^2, "")</f>
        <v/>
      </c>
      <c r="N222" t="n">
        <v>1</v>
      </c>
      <c r="O222">
        <f>IF(AND(N222&lt;&gt;"", OR(N222=0, N222=1)), IF(ROUND(H222,0)=N222, 1, 0), "")</f>
        <v/>
      </c>
    </row>
    <row r="223">
      <c r="A223" t="n">
        <v>20260267</v>
      </c>
      <c r="B223" t="inlineStr">
        <is>
          <t>2026-05-29</t>
        </is>
      </c>
      <c r="C223" t="inlineStr">
        <is>
          <t>키움</t>
        </is>
      </c>
      <c r="D223" t="inlineStr">
        <is>
          <t>KT</t>
        </is>
      </c>
      <c r="E223" t="n">
        <v>10001</v>
      </c>
      <c r="F223" t="n">
        <v>12001</v>
      </c>
      <c r="G223" t="n">
        <v>53.45</v>
      </c>
      <c r="H223" t="n">
        <v>0.5345372148707886</v>
      </c>
      <c r="I223" t="inlineStr">
        <is>
          <t>elo_sp</t>
        </is>
      </c>
      <c r="J223">
        <f>MAX(H223,1-H223)</f>
        <v/>
      </c>
      <c r="K223">
        <f>_xlfn.IFS(
J223&lt;=0.55,"50~55",
J223&lt;=0.6,"55~60",
J223&lt;=0.65,"60~65",
J223&lt;=0.7,"65~70",
TRUE,"70~100"
)</f>
        <v/>
      </c>
      <c r="L223">
        <f>IF(H223&gt;=0.5,"HOME","AWAY")</f>
        <v/>
      </c>
      <c r="M223">
        <f>IF(AND(N223&lt;&gt;"", OR(N223=0, N223=1)), (J223-N223)^2, "")</f>
        <v/>
      </c>
      <c r="N223" t="n">
        <v>0</v>
      </c>
      <c r="O223">
        <f>IF(AND(N223&lt;&gt;"", OR(N223=0, N223=1)), IF(ROUND(H223,0)=N223, 1, 0), "")</f>
        <v/>
      </c>
    </row>
    <row r="224">
      <c r="A224" t="n">
        <v>20260268</v>
      </c>
      <c r="B224" t="inlineStr">
        <is>
          <t>2026-05-29</t>
        </is>
      </c>
      <c r="C224" t="inlineStr">
        <is>
          <t>한화</t>
        </is>
      </c>
      <c r="D224" t="inlineStr">
        <is>
          <t>SSG</t>
        </is>
      </c>
      <c r="E224" t="n">
        <v>7002</v>
      </c>
      <c r="F224" t="n">
        <v>9002</v>
      </c>
      <c r="G224" t="n">
        <v>61.71</v>
      </c>
      <c r="H224" t="n">
        <v>0.6170621323471513</v>
      </c>
      <c r="I224" t="inlineStr">
        <is>
          <t>elo_sp</t>
        </is>
      </c>
      <c r="J224">
        <f>MAX(H224,1-H224)</f>
        <v/>
      </c>
      <c r="K224">
        <f>_xlfn.IFS(
J224&lt;=0.55,"50~55",
J224&lt;=0.6,"55~60",
J224&lt;=0.65,"60~65",
J224&lt;=0.7,"65~70",
TRUE,"70~100"
)</f>
        <v/>
      </c>
      <c r="L224">
        <f>IF(H224&gt;=0.5,"HOME","AWAY")</f>
        <v/>
      </c>
      <c r="M224">
        <f>IF(AND(N224&lt;&gt;"", OR(N224=0, N224=1)), (J224-N224)^2, "")</f>
        <v/>
      </c>
      <c r="N224" t="n">
        <v>1</v>
      </c>
      <c r="O224">
        <f>IF(AND(N224&lt;&gt;"", OR(N224=0, N224=1)), IF(ROUND(H224,0)=N224, 1, 0), "")</f>
        <v/>
      </c>
    </row>
    <row r="225">
      <c r="A225" t="n">
        <v>20260269</v>
      </c>
      <c r="B225" t="inlineStr">
        <is>
          <t>2026-05-29</t>
        </is>
      </c>
      <c r="C225" t="inlineStr">
        <is>
          <t>삼성</t>
        </is>
      </c>
      <c r="D225" t="inlineStr">
        <is>
          <t>두산</t>
        </is>
      </c>
      <c r="E225" t="n">
        <v>1001</v>
      </c>
      <c r="F225" t="n">
        <v>6002</v>
      </c>
      <c r="G225" t="n">
        <v>52.19</v>
      </c>
      <c r="H225" t="n">
        <v>0.5219307249803196</v>
      </c>
      <c r="I225" t="inlineStr">
        <is>
          <t>elo_sp</t>
        </is>
      </c>
      <c r="J225">
        <f>MAX(H225,1-H225)</f>
        <v/>
      </c>
      <c r="K225">
        <f>_xlfn.IFS(
J225&lt;=0.55,"50~55",
J225&lt;=0.6,"55~60",
J225&lt;=0.65,"60~65",
J225&lt;=0.7,"65~70",
TRUE,"70~100"
)</f>
        <v/>
      </c>
      <c r="L225">
        <f>IF(H225&gt;=0.5,"HOME","AWAY")</f>
        <v/>
      </c>
      <c r="M225">
        <f>IF(AND(N225&lt;&gt;"", OR(N225=0, N225=1)), (J225-N225)^2, "")</f>
        <v/>
      </c>
      <c r="N225" t="n">
        <v>0</v>
      </c>
      <c r="O225">
        <f>IF(AND(N225&lt;&gt;"", OR(N225=0, N225=1)), IF(ROUND(H225,0)=N225, 1, 0), "")</f>
        <v/>
      </c>
    </row>
    <row r="226">
      <c r="A226" t="n">
        <v>20260270</v>
      </c>
      <c r="B226" t="inlineStr">
        <is>
          <t>2026-05-29</t>
        </is>
      </c>
      <c r="C226" t="inlineStr">
        <is>
          <t>NC</t>
        </is>
      </c>
      <c r="D226" t="inlineStr">
        <is>
          <t>롯데</t>
        </is>
      </c>
      <c r="E226" t="n">
        <v>11001</v>
      </c>
      <c r="F226" t="n">
        <v>3001</v>
      </c>
      <c r="G226" t="n">
        <v>52.48</v>
      </c>
      <c r="H226" t="n">
        <v>0.52480278940696</v>
      </c>
      <c r="I226" t="inlineStr">
        <is>
          <t>elo_sp</t>
        </is>
      </c>
      <c r="J226">
        <f>MAX(H226,1-H226)</f>
        <v/>
      </c>
      <c r="K226">
        <f>_xlfn.IFS(
J226&lt;=0.55,"50~55",
J226&lt;=0.6,"55~60",
J226&lt;=0.65,"60~65",
J226&lt;=0.7,"65~70",
TRUE,"70~100"
)</f>
        <v/>
      </c>
      <c r="L226">
        <f>IF(H226&gt;=0.5,"HOME","AWAY")</f>
        <v/>
      </c>
      <c r="M226">
        <f>IF(AND(N226&lt;&gt;"", OR(N226=0, N226=1)), (J226-N226)^2, "")</f>
        <v/>
      </c>
      <c r="N226" t="n">
        <v>0</v>
      </c>
      <c r="O226">
        <f>IF(AND(N226&lt;&gt;"", OR(N226=0, N226=1)), IF(ROUND(H226,0)=N226, 1, 0), "")</f>
        <v/>
      </c>
    </row>
    <row r="227">
      <c r="A227" t="n">
        <v>20260274</v>
      </c>
      <c r="B227" t="inlineStr">
        <is>
          <t>2026-05-30</t>
        </is>
      </c>
      <c r="C227" t="inlineStr">
        <is>
          <t>삼성</t>
        </is>
      </c>
      <c r="D227" t="inlineStr">
        <is>
          <t>두산</t>
        </is>
      </c>
      <c r="E227" t="n">
        <v>1001</v>
      </c>
      <c r="F227" t="n">
        <v>6002</v>
      </c>
      <c r="G227" t="n">
        <v>60.22</v>
      </c>
      <c r="H227" t="n">
        <v>0.6021972614238584</v>
      </c>
      <c r="I227" t="inlineStr">
        <is>
          <t>elo_sp</t>
        </is>
      </c>
      <c r="J227">
        <f>MAX(H227,1-H227)</f>
        <v/>
      </c>
      <c r="K227">
        <f>_xlfn.IFS(
J227&lt;=0.55,"50~55",
J227&lt;=0.6,"55~60",
J227&lt;=0.65,"60~65",
J227&lt;=0.7,"65~70",
TRUE,"70~100"
)</f>
        <v/>
      </c>
      <c r="L227">
        <f>IF(H227&gt;=0.5,"HOME","AWAY")</f>
        <v/>
      </c>
      <c r="M227">
        <f>IF(AND(N227&lt;&gt;"", OR(N227=0, N227=1)), (J227-N227)^2, "")</f>
        <v/>
      </c>
      <c r="N227" t="n">
        <v>0</v>
      </c>
      <c r="O227">
        <f>IF(AND(N227&lt;&gt;"", OR(N227=0, N227=1)), IF(ROUND(H227,0)=N227, 1, 0), "")</f>
        <v/>
      </c>
    </row>
    <row r="228">
      <c r="A228" t="n">
        <v>20260271</v>
      </c>
      <c r="B228" t="inlineStr">
        <is>
          <t>2026-05-30</t>
        </is>
      </c>
      <c r="C228" t="inlineStr">
        <is>
          <t>LG</t>
        </is>
      </c>
      <c r="D228" t="inlineStr">
        <is>
          <t>KIA</t>
        </is>
      </c>
      <c r="E228" t="n">
        <v>5002</v>
      </c>
      <c r="F228" t="n">
        <v>2002</v>
      </c>
      <c r="G228" t="n">
        <v>32.7</v>
      </c>
      <c r="H228" t="n">
        <v>0.3270455046355627</v>
      </c>
      <c r="I228" t="inlineStr">
        <is>
          <t>elo_sp</t>
        </is>
      </c>
      <c r="J228">
        <f>MAX(H228,1-H228)</f>
        <v/>
      </c>
      <c r="K228">
        <f>_xlfn.IFS(
J228&lt;=0.55,"50~55",
J228&lt;=0.6,"55~60",
J228&lt;=0.65,"60~65",
J228&lt;=0.7,"65~70",
TRUE,"70~100"
)</f>
        <v/>
      </c>
      <c r="L228">
        <f>IF(H228&gt;=0.5,"HOME","AWAY")</f>
        <v/>
      </c>
      <c r="M228">
        <f>IF(AND(N228&lt;&gt;"", OR(N228=0, N228=1)), (J228-N228)^2, "")</f>
        <v/>
      </c>
      <c r="N228" t="n">
        <v>1</v>
      </c>
      <c r="O228">
        <f>IF(AND(N228&lt;&gt;"", OR(N228=0, N228=1)), IF(ROUND(H228,0)=N228, 1, 0), "")</f>
        <v/>
      </c>
    </row>
    <row r="229">
      <c r="A229" t="n">
        <v>20260272</v>
      </c>
      <c r="B229" t="inlineStr">
        <is>
          <t>2026-05-30</t>
        </is>
      </c>
      <c r="C229" t="inlineStr">
        <is>
          <t>키움</t>
        </is>
      </c>
      <c r="D229" t="inlineStr">
        <is>
          <t>KT</t>
        </is>
      </c>
      <c r="E229" t="n">
        <v>10001</v>
      </c>
      <c r="F229" t="n">
        <v>12001</v>
      </c>
      <c r="G229" t="n">
        <v>100</v>
      </c>
      <c r="H229" t="n">
        <v>1</v>
      </c>
      <c r="I229" t="inlineStr">
        <is>
          <t>elo_sp</t>
        </is>
      </c>
      <c r="J229">
        <f>MAX(H229,1-H229)</f>
        <v/>
      </c>
      <c r="K229">
        <f>_xlfn.IFS(
J229&lt;=0.55,"50~55",
J229&lt;=0.6,"55~60",
J229&lt;=0.65,"60~65",
J229&lt;=0.7,"65~70",
TRUE,"70~100"
)</f>
        <v/>
      </c>
      <c r="L229">
        <f>IF(H229&gt;=0.5,"HOME","AWAY")</f>
        <v/>
      </c>
      <c r="M229">
        <f>IF(AND(N229&lt;&gt;"", OR(N229=0, N229=1)), (J229-N229)^2, "")</f>
        <v/>
      </c>
      <c r="N229" t="n">
        <v>0</v>
      </c>
      <c r="O229">
        <f>IF(AND(N229&lt;&gt;"", OR(N229=0, N229=1)), IF(ROUND(H229,0)=N229, 1, 0), "")</f>
        <v/>
      </c>
    </row>
    <row r="230">
      <c r="A230" t="n">
        <v>20260273</v>
      </c>
      <c r="B230" t="inlineStr">
        <is>
          <t>2026-05-30</t>
        </is>
      </c>
      <c r="C230" t="inlineStr">
        <is>
          <t>한화</t>
        </is>
      </c>
      <c r="D230" t="inlineStr">
        <is>
          <t>SSG</t>
        </is>
      </c>
      <c r="E230" t="n">
        <v>7002</v>
      </c>
      <c r="F230" t="n">
        <v>9002</v>
      </c>
      <c r="G230" t="n">
        <v>65.03</v>
      </c>
      <c r="H230" t="n">
        <v>0.6503258002366246</v>
      </c>
      <c r="I230" t="inlineStr">
        <is>
          <t>elo_sp</t>
        </is>
      </c>
      <c r="J230">
        <f>MAX(H230,1-H230)</f>
        <v/>
      </c>
      <c r="K230">
        <f>_xlfn.IFS(
J230&lt;=0.55,"50~55",
J230&lt;=0.6,"55~60",
J230&lt;=0.65,"60~65",
J230&lt;=0.7,"65~70",
TRUE,"70~100"
)</f>
        <v/>
      </c>
      <c r="L230">
        <f>IF(H230&gt;=0.5,"HOME","AWAY")</f>
        <v/>
      </c>
      <c r="M230">
        <f>IF(AND(N230&lt;&gt;"", OR(N230=0, N230=1)), (J230-N230)^2, "")</f>
        <v/>
      </c>
      <c r="N230" t="n">
        <v>1</v>
      </c>
      <c r="O230">
        <f>IF(AND(N230&lt;&gt;"", OR(N230=0, N230=1)), IF(ROUND(H230,0)=N230, 1, 0), "")</f>
        <v/>
      </c>
    </row>
    <row r="231">
      <c r="A231" t="n">
        <v>20260275</v>
      </c>
      <c r="B231" t="inlineStr">
        <is>
          <t>2026-05-30</t>
        </is>
      </c>
      <c r="C231" t="inlineStr">
        <is>
          <t>NC</t>
        </is>
      </c>
      <c r="D231" t="inlineStr">
        <is>
          <t>롯데</t>
        </is>
      </c>
      <c r="E231" t="n">
        <v>11001</v>
      </c>
      <c r="F231" t="n">
        <v>3001</v>
      </c>
      <c r="G231" t="n">
        <v>78.66</v>
      </c>
      <c r="H231" t="n">
        <v>0.7866322427405555</v>
      </c>
      <c r="I231" t="inlineStr">
        <is>
          <t>elo_sp</t>
        </is>
      </c>
      <c r="J231">
        <f>MAX(H231,1-H231)</f>
        <v/>
      </c>
      <c r="K231">
        <f>_xlfn.IFS(
J231&lt;=0.55,"50~55",
J231&lt;=0.6,"55~60",
J231&lt;=0.65,"60~65",
J231&lt;=0.7,"65~70",
TRUE,"70~100"
)</f>
        <v/>
      </c>
      <c r="L231">
        <f>IF(H231&gt;=0.5,"HOME","AWAY")</f>
        <v/>
      </c>
      <c r="M231">
        <f>IF(AND(N231&lt;&gt;"", OR(N231=0, N231=1)), (J231-N231)^2, "")</f>
        <v/>
      </c>
      <c r="N231" t="n">
        <v>1</v>
      </c>
      <c r="O231">
        <f>IF(AND(N231&lt;&gt;"", OR(N231=0, N231=1)), IF(ROUND(H231,0)=N231, 1, 0), "")</f>
        <v/>
      </c>
    </row>
    <row r="232">
      <c r="A232" t="n">
        <v>20260276</v>
      </c>
      <c r="B232" t="inlineStr">
        <is>
          <t>2026-05-31</t>
        </is>
      </c>
      <c r="C232" t="inlineStr">
        <is>
          <t>LG</t>
        </is>
      </c>
      <c r="D232" t="inlineStr">
        <is>
          <t>KIA</t>
        </is>
      </c>
      <c r="E232" t="n">
        <v>5002</v>
      </c>
      <c r="F232" t="n">
        <v>2002</v>
      </c>
      <c r="G232" t="n">
        <v>54.51</v>
      </c>
      <c r="H232" t="n">
        <v>0.5451428396387865</v>
      </c>
      <c r="I232" t="inlineStr">
        <is>
          <t>elo_sp</t>
        </is>
      </c>
      <c r="J232">
        <f>MAX(H232,1-H232)</f>
        <v/>
      </c>
      <c r="K232">
        <f>_xlfn.IFS(
J232&lt;=0.55,"50~55",
J232&lt;=0.6,"55~60",
J232&lt;=0.65,"60~65",
J232&lt;=0.7,"65~70",
TRUE,"70~100"
)</f>
        <v/>
      </c>
      <c r="L232">
        <f>IF(H232&gt;=0.5,"HOME","AWAY")</f>
        <v/>
      </c>
      <c r="M232">
        <f>IF(AND(N232&lt;&gt;"", OR(N232=0, N232=1)), (J232-N232)^2, "")</f>
        <v/>
      </c>
      <c r="N232" t="n">
        <v>1</v>
      </c>
      <c r="O232">
        <f>IF(AND(N232&lt;&gt;"", OR(N232=0, N232=1)), IF(ROUND(H232,0)=N232, 1, 0), "")</f>
        <v/>
      </c>
    </row>
    <row r="233">
      <c r="A233" t="n">
        <v>20260277</v>
      </c>
      <c r="B233" t="inlineStr">
        <is>
          <t>2026-05-31</t>
        </is>
      </c>
      <c r="C233" t="inlineStr">
        <is>
          <t>키움</t>
        </is>
      </c>
      <c r="D233" t="inlineStr">
        <is>
          <t>KT</t>
        </is>
      </c>
      <c r="E233" t="n">
        <v>10001</v>
      </c>
      <c r="F233" t="n">
        <v>12001</v>
      </c>
      <c r="G233" t="n">
        <v>48.67</v>
      </c>
      <c r="H233" t="n">
        <v>0.4867316451000267</v>
      </c>
      <c r="I233" t="inlineStr">
        <is>
          <t>elo_sp</t>
        </is>
      </c>
      <c r="J233">
        <f>MAX(H233,1-H233)</f>
        <v/>
      </c>
      <c r="K233">
        <f>_xlfn.IFS(
J233&lt;=0.55,"50~55",
J233&lt;=0.6,"55~60",
J233&lt;=0.65,"60~65",
J233&lt;=0.7,"65~70",
TRUE,"70~100"
)</f>
        <v/>
      </c>
      <c r="L233">
        <f>IF(H233&gt;=0.5,"HOME","AWAY")</f>
        <v/>
      </c>
      <c r="M233">
        <f>IF(AND(N233&lt;&gt;"", OR(N233=0, N233=1)), (J233-N233)^2, "")</f>
        <v/>
      </c>
      <c r="N233" t="n">
        <v>0</v>
      </c>
      <c r="O233">
        <f>IF(AND(N233&lt;&gt;"", OR(N233=0, N233=1)), IF(ROUND(H233,0)=N233, 1, 0), "")</f>
        <v/>
      </c>
    </row>
    <row r="234">
      <c r="A234" t="n">
        <v>20260278</v>
      </c>
      <c r="B234" t="inlineStr">
        <is>
          <t>2026-05-31</t>
        </is>
      </c>
      <c r="C234" t="inlineStr">
        <is>
          <t>한화</t>
        </is>
      </c>
      <c r="D234" t="inlineStr">
        <is>
          <t>SSG</t>
        </is>
      </c>
      <c r="E234" t="n">
        <v>7002</v>
      </c>
      <c r="F234" t="n">
        <v>9002</v>
      </c>
      <c r="G234" t="n">
        <v>65.27</v>
      </c>
      <c r="H234" t="n">
        <v>0.6527330847949266</v>
      </c>
      <c r="I234" t="inlineStr">
        <is>
          <t>elo_sp</t>
        </is>
      </c>
      <c r="J234">
        <f>MAX(H234,1-H234)</f>
        <v/>
      </c>
      <c r="K234">
        <f>_xlfn.IFS(
J234&lt;=0.55,"50~55",
J234&lt;=0.6,"55~60",
J234&lt;=0.65,"60~65",
J234&lt;=0.7,"65~70",
TRUE,"70~100"
)</f>
        <v/>
      </c>
      <c r="L234">
        <f>IF(H234&gt;=0.5,"HOME","AWAY")</f>
        <v/>
      </c>
      <c r="M234">
        <f>IF(AND(N234&lt;&gt;"", OR(N234=0, N234=1)), (J234-N234)^2, "")</f>
        <v/>
      </c>
      <c r="N234" t="n">
        <v>1</v>
      </c>
      <c r="O234">
        <f>IF(AND(N234&lt;&gt;"", OR(N234=0, N234=1)), IF(ROUND(H234,0)=N234, 1, 0), "")</f>
        <v/>
      </c>
    </row>
    <row r="235">
      <c r="A235" t="n">
        <v>20260279</v>
      </c>
      <c r="B235" t="inlineStr">
        <is>
          <t>2026-05-31</t>
        </is>
      </c>
      <c r="C235" t="inlineStr">
        <is>
          <t>삼성</t>
        </is>
      </c>
      <c r="D235" t="inlineStr">
        <is>
          <t>두산</t>
        </is>
      </c>
      <c r="E235" t="n">
        <v>1001</v>
      </c>
      <c r="F235" t="n">
        <v>6002</v>
      </c>
      <c r="G235" t="n">
        <v>46.96</v>
      </c>
      <c r="H235" t="n">
        <v>0.4696399407189114</v>
      </c>
      <c r="I235" t="inlineStr">
        <is>
          <t>elo_sp</t>
        </is>
      </c>
      <c r="J235">
        <f>MAX(H235,1-H235)</f>
        <v/>
      </c>
      <c r="K235">
        <f>_xlfn.IFS(
J235&lt;=0.55,"50~55",
J235&lt;=0.6,"55~60",
J235&lt;=0.65,"60~65",
J235&lt;=0.7,"65~70",
TRUE,"70~100"
)</f>
        <v/>
      </c>
      <c r="L235">
        <f>IF(H235&gt;=0.5,"HOME","AWAY")</f>
        <v/>
      </c>
      <c r="M235">
        <f>IF(AND(N235&lt;&gt;"", OR(N235=0, N235=1)), (J235-N235)^2, "")</f>
        <v/>
      </c>
      <c r="N235" t="n">
        <v>1</v>
      </c>
      <c r="O235">
        <f>IF(AND(N235&lt;&gt;"", OR(N235=0, N235=1)), IF(ROUND(H235,0)=N235, 1, 0), "")</f>
        <v/>
      </c>
    </row>
    <row r="236">
      <c r="A236" t="n">
        <v>20260280</v>
      </c>
      <c r="B236" t="inlineStr">
        <is>
          <t>2026-05-31</t>
        </is>
      </c>
      <c r="C236" t="inlineStr">
        <is>
          <t>NC</t>
        </is>
      </c>
      <c r="D236" t="inlineStr">
        <is>
          <t>롯데</t>
        </is>
      </c>
      <c r="E236" t="n">
        <v>11001</v>
      </c>
      <c r="F236" t="n">
        <v>3001</v>
      </c>
      <c r="G236" t="n">
        <v>33</v>
      </c>
      <c r="H236" t="n">
        <v>0.3300124487120771</v>
      </c>
      <c r="I236" t="inlineStr">
        <is>
          <t>elo_sp</t>
        </is>
      </c>
      <c r="J236">
        <f>MAX(H236,1-H236)</f>
        <v/>
      </c>
      <c r="K236">
        <f>_xlfn.IFS(
J236&lt;=0.55,"50~55",
J236&lt;=0.6,"55~60",
J236&lt;=0.65,"60~65",
J236&lt;=0.7,"65~70",
TRUE,"70~100"
)</f>
        <v/>
      </c>
      <c r="L236">
        <f>IF(H236&gt;=0.5,"HOME","AWAY")</f>
        <v/>
      </c>
      <c r="M236">
        <f>IF(AND(N236&lt;&gt;"", OR(N236=0, N236=1)), (J236-N236)^2, "")</f>
        <v/>
      </c>
      <c r="N236" t="n">
        <v>1</v>
      </c>
      <c r="O236">
        <f>IF(AND(N236&lt;&gt;"", OR(N236=0, N236=1)), IF(ROUND(H236,0)=N236, 1, 0), "")</f>
        <v/>
      </c>
    </row>
    <row r="237">
      <c r="A237" t="n">
        <v>20260281</v>
      </c>
      <c r="B237" t="inlineStr">
        <is>
          <t>2026-06-02</t>
        </is>
      </c>
      <c r="C237" t="inlineStr">
        <is>
          <t>두산</t>
        </is>
      </c>
      <c r="D237" t="inlineStr">
        <is>
          <t>한화</t>
        </is>
      </c>
      <c r="E237" t="n">
        <v>6002</v>
      </c>
      <c r="F237" t="n">
        <v>7002</v>
      </c>
      <c r="G237" t="n">
        <v>45.2</v>
      </c>
      <c r="H237" t="n">
        <v>0.4519937330071735</v>
      </c>
      <c r="I237" t="inlineStr">
        <is>
          <t>elo_full</t>
        </is>
      </c>
      <c r="J237">
        <f>MAX(H237,1-H237)</f>
        <v/>
      </c>
      <c r="K237">
        <f>_xlfn.IFS(
J237&lt;=0.55,"50~55",
J237&lt;=0.6,"55~60",
J237&lt;=0.65,"60~65",
J237&lt;=0.7,"65~70",
TRUE,"70~100"
)</f>
        <v/>
      </c>
      <c r="L237">
        <f>IF(H237&gt;=0.5,"HOME","AWAY")</f>
        <v/>
      </c>
      <c r="M237">
        <f>IF(AND(N237&lt;&gt;"", OR(N237=0, N237=1)), (J237-N237)^2, "")</f>
        <v/>
      </c>
      <c r="N237" t="n">
        <v>1</v>
      </c>
      <c r="O237">
        <f>IF(AND(N237&lt;&gt;"", OR(N237=0, N237=1)), IF(ROUND(H237,0)=N237, 1, 0), "")</f>
        <v/>
      </c>
    </row>
    <row r="238">
      <c r="A238" t="n">
        <v>20260282</v>
      </c>
      <c r="B238" t="inlineStr">
        <is>
          <t>2026-06-02</t>
        </is>
      </c>
      <c r="C238" t="inlineStr">
        <is>
          <t>SSG</t>
        </is>
      </c>
      <c r="D238" t="inlineStr">
        <is>
          <t>키움</t>
        </is>
      </c>
      <c r="E238" t="n">
        <v>9002</v>
      </c>
      <c r="F238" t="n">
        <v>10001</v>
      </c>
      <c r="G238" t="n">
        <v>48.96</v>
      </c>
      <c r="H238" t="n">
        <v>0.4895642727301264</v>
      </c>
      <c r="I238" t="inlineStr">
        <is>
          <t>elo_full</t>
        </is>
      </c>
      <c r="J238">
        <f>MAX(H238,1-H238)</f>
        <v/>
      </c>
      <c r="K238">
        <f>_xlfn.IFS(
J238&lt;=0.55,"50~55",
J238&lt;=0.6,"55~60",
J238&lt;=0.65,"60~65",
J238&lt;=0.7,"65~70",
TRUE,"70~100"
)</f>
        <v/>
      </c>
      <c r="L238">
        <f>IF(H238&gt;=0.5,"HOME","AWAY")</f>
        <v/>
      </c>
      <c r="M238">
        <f>IF(AND(N238&lt;&gt;"", OR(N238=0, N238=1)), (J238-N238)^2, "")</f>
        <v/>
      </c>
      <c r="N238" t="n">
        <v>0</v>
      </c>
      <c r="O238">
        <f>IF(AND(N238&lt;&gt;"", OR(N238=0, N238=1)), IF(ROUND(H238,0)=N238, 1, 0), "")</f>
        <v/>
      </c>
    </row>
    <row r="239">
      <c r="A239" t="n">
        <v>20260283</v>
      </c>
      <c r="B239" t="inlineStr">
        <is>
          <t>2026-06-02</t>
        </is>
      </c>
      <c r="C239" t="inlineStr">
        <is>
          <t>KT</t>
        </is>
      </c>
      <c r="D239" t="inlineStr">
        <is>
          <t>LG</t>
        </is>
      </c>
      <c r="E239" t="n">
        <v>12001</v>
      </c>
      <c r="F239" t="n">
        <v>5002</v>
      </c>
      <c r="G239" t="n">
        <v>55.52</v>
      </c>
      <c r="H239" t="n">
        <v>0.5552147230436916</v>
      </c>
      <c r="I239" t="inlineStr">
        <is>
          <t>elo_full</t>
        </is>
      </c>
      <c r="J239">
        <f>MAX(H239,1-H239)</f>
        <v/>
      </c>
      <c r="K239">
        <f>_xlfn.IFS(
J239&lt;=0.55,"50~55",
J239&lt;=0.6,"55~60",
J239&lt;=0.65,"60~65",
J239&lt;=0.7,"65~70",
TRUE,"70~100"
)</f>
        <v/>
      </c>
      <c r="L239">
        <f>IF(H239&gt;=0.5,"HOME","AWAY")</f>
        <v/>
      </c>
      <c r="M239">
        <f>IF(AND(N239&lt;&gt;"", OR(N239=0, N239=1)), (J239-N239)^2, "")</f>
        <v/>
      </c>
      <c r="N239" t="n">
        <v>0</v>
      </c>
      <c r="O239">
        <f>IF(AND(N239&lt;&gt;"", OR(N239=0, N239=1)), IF(ROUND(H239,0)=N239, 1, 0), "")</f>
        <v/>
      </c>
    </row>
    <row r="240">
      <c r="A240" t="n">
        <v>20260284</v>
      </c>
      <c r="B240" t="inlineStr">
        <is>
          <t>2026-06-02</t>
        </is>
      </c>
      <c r="C240" t="inlineStr">
        <is>
          <t>삼성</t>
        </is>
      </c>
      <c r="D240" t="inlineStr">
        <is>
          <t>NC</t>
        </is>
      </c>
      <c r="E240" t="n">
        <v>1001</v>
      </c>
      <c r="F240" t="n">
        <v>11001</v>
      </c>
      <c r="G240" t="n">
        <v>70.84999999999999</v>
      </c>
      <c r="H240" t="n">
        <v>0.7084795748697038</v>
      </c>
      <c r="I240" t="inlineStr">
        <is>
          <t>elo_full</t>
        </is>
      </c>
      <c r="J240">
        <f>MAX(H240,1-H240)</f>
        <v/>
      </c>
      <c r="K240">
        <f>_xlfn.IFS(
J240&lt;=0.55,"50~55",
J240&lt;=0.6,"55~60",
J240&lt;=0.65,"60~65",
J240&lt;=0.7,"65~70",
TRUE,"70~100"
)</f>
        <v/>
      </c>
      <c r="L240">
        <f>IF(H240&gt;=0.5,"HOME","AWAY")</f>
        <v/>
      </c>
      <c r="M240">
        <f>IF(AND(N240&lt;&gt;"", OR(N240=0, N240=1)), (J240-N240)^2, "")</f>
        <v/>
      </c>
      <c r="N240" t="n">
        <v>1</v>
      </c>
      <c r="O240">
        <f>IF(AND(N240&lt;&gt;"", OR(N240=0, N240=1)), IF(ROUND(H240,0)=N240, 1, 0), "")</f>
        <v/>
      </c>
    </row>
    <row r="241">
      <c r="A241" t="n">
        <v>20260285</v>
      </c>
      <c r="B241" t="inlineStr">
        <is>
          <t>2026-06-02</t>
        </is>
      </c>
      <c r="C241" t="inlineStr">
        <is>
          <t>KIA</t>
        </is>
      </c>
      <c r="D241" t="inlineStr">
        <is>
          <t>롯데</t>
        </is>
      </c>
      <c r="E241" t="n">
        <v>2002</v>
      </c>
      <c r="F241" t="n">
        <v>3001</v>
      </c>
      <c r="G241" t="n">
        <v>63.88</v>
      </c>
      <c r="H241" t="n">
        <v>0.6387926501793698</v>
      </c>
      <c r="I241" t="inlineStr">
        <is>
          <t>elo_full</t>
        </is>
      </c>
      <c r="J241">
        <f>MAX(H241,1-H241)</f>
        <v/>
      </c>
      <c r="K241">
        <f>_xlfn.IFS(
J241&lt;=0.55,"50~55",
J241&lt;=0.6,"55~60",
J241&lt;=0.65,"60~65",
J241&lt;=0.7,"65~70",
TRUE,"70~100"
)</f>
        <v/>
      </c>
      <c r="L241">
        <f>IF(H241&gt;=0.5,"HOME","AWAY")</f>
        <v/>
      </c>
      <c r="M241">
        <f>IF(AND(N241&lt;&gt;"", OR(N241=0, N241=1)), (J241-N241)^2, "")</f>
        <v/>
      </c>
      <c r="N241" t="n">
        <v>1</v>
      </c>
      <c r="O241">
        <f>IF(AND(N241&lt;&gt;"", OR(N241=0, N241=1)), IF(ROUND(H241,0)=N241, 1, 0), "")</f>
        <v/>
      </c>
    </row>
    <row r="242">
      <c r="A242" t="n">
        <v>20260286</v>
      </c>
      <c r="B242" t="inlineStr">
        <is>
          <t>2026-06-03</t>
        </is>
      </c>
      <c r="C242" t="inlineStr">
        <is>
          <t>두산</t>
        </is>
      </c>
      <c r="D242" t="inlineStr">
        <is>
          <t>한화</t>
        </is>
      </c>
      <c r="E242" t="n">
        <v>6002</v>
      </c>
      <c r="F242" t="n">
        <v>7002</v>
      </c>
      <c r="G242" t="n">
        <v>17.86</v>
      </c>
      <c r="H242" t="n">
        <v>0.1786308066378778</v>
      </c>
      <c r="I242" t="inlineStr">
        <is>
          <t>elo_sp</t>
        </is>
      </c>
      <c r="J242">
        <f>MAX(H242,1-H242)</f>
        <v/>
      </c>
      <c r="K242">
        <f>_xlfn.IFS(
J242&lt;=0.55,"50~55",
J242&lt;=0.6,"55~60",
J242&lt;=0.65,"60~65",
J242&lt;=0.7,"65~70",
TRUE,"70~100"
)</f>
        <v/>
      </c>
      <c r="L242">
        <f>IF(H242&gt;=0.5,"HOME","AWAY")</f>
        <v/>
      </c>
      <c r="M242">
        <f>IF(AND(N242&lt;&gt;"", OR(N242=0, N242=1)), (J242-N242)^2, "")</f>
        <v/>
      </c>
      <c r="N242" t="inlineStr">
        <is>
          <t>draw</t>
        </is>
      </c>
      <c r="O242">
        <f>IF(AND(N242&lt;&gt;"", OR(N242=0, N242=1)), IF(ROUND(H242,0)=N242, 1, 0), "")</f>
        <v/>
      </c>
    </row>
    <row r="243">
      <c r="A243" t="n">
        <v>20260287</v>
      </c>
      <c r="B243" t="inlineStr">
        <is>
          <t>2026-06-03</t>
        </is>
      </c>
      <c r="C243" t="inlineStr">
        <is>
          <t>SSG</t>
        </is>
      </c>
      <c r="D243" t="inlineStr">
        <is>
          <t>키움</t>
        </is>
      </c>
      <c r="E243" t="n">
        <v>9002</v>
      </c>
      <c r="F243" t="n">
        <v>10001</v>
      </c>
      <c r="G243" t="n">
        <v>44.64</v>
      </c>
      <c r="H243" t="n">
        <v>0.4464169588975788</v>
      </c>
      <c r="I243" t="inlineStr">
        <is>
          <t>elo_sp</t>
        </is>
      </c>
      <c r="J243">
        <f>MAX(H243,1-H243)</f>
        <v/>
      </c>
      <c r="K243">
        <f>_xlfn.IFS(
J243&lt;=0.55,"50~55",
J243&lt;=0.6,"55~60",
J243&lt;=0.65,"60~65",
J243&lt;=0.7,"65~70",
TRUE,"70~100"
)</f>
        <v/>
      </c>
      <c r="L243">
        <f>IF(H243&gt;=0.5,"HOME","AWAY")</f>
        <v/>
      </c>
      <c r="M243">
        <f>IF(AND(N243&lt;&gt;"", OR(N243=0, N243=1)), (J243-N243)^2, "")</f>
        <v/>
      </c>
      <c r="N243" t="n">
        <v>1</v>
      </c>
      <c r="O243">
        <f>IF(AND(N243&lt;&gt;"", OR(N243=0, N243=1)), IF(ROUND(H243,0)=N243, 1, 0), "")</f>
        <v/>
      </c>
    </row>
    <row r="244">
      <c r="A244" t="n">
        <v>20260288</v>
      </c>
      <c r="B244" t="inlineStr">
        <is>
          <t>2026-06-03</t>
        </is>
      </c>
      <c r="C244" t="inlineStr">
        <is>
          <t>KT</t>
        </is>
      </c>
      <c r="D244" t="inlineStr">
        <is>
          <t>LG</t>
        </is>
      </c>
      <c r="E244" t="n">
        <v>12001</v>
      </c>
      <c r="F244" t="n">
        <v>5002</v>
      </c>
      <c r="G244" t="n">
        <v>57.7</v>
      </c>
      <c r="H244" t="n">
        <v>0.577046431529551</v>
      </c>
      <c r="I244" t="inlineStr">
        <is>
          <t>elo_sp</t>
        </is>
      </c>
      <c r="J244">
        <f>MAX(H244,1-H244)</f>
        <v/>
      </c>
      <c r="K244">
        <f>_xlfn.IFS(
J244&lt;=0.55,"50~55",
J244&lt;=0.6,"55~60",
J244&lt;=0.65,"60~65",
J244&lt;=0.7,"65~70",
TRUE,"70~100"
)</f>
        <v/>
      </c>
      <c r="L244">
        <f>IF(H244&gt;=0.5,"HOME","AWAY")</f>
        <v/>
      </c>
      <c r="M244">
        <f>IF(AND(N244&lt;&gt;"", OR(N244=0, N244=1)), (J244-N244)^2, "")</f>
        <v/>
      </c>
      <c r="N244" t="n">
        <v>1</v>
      </c>
      <c r="O244">
        <f>IF(AND(N244&lt;&gt;"", OR(N244=0, N244=1)), IF(ROUND(H244,0)=N244, 1, 0), "")</f>
        <v/>
      </c>
    </row>
    <row r="245">
      <c r="A245" t="n">
        <v>20260289</v>
      </c>
      <c r="B245" t="inlineStr">
        <is>
          <t>2026-06-03</t>
        </is>
      </c>
      <c r="C245" t="inlineStr">
        <is>
          <t>삼성</t>
        </is>
      </c>
      <c r="D245" t="inlineStr">
        <is>
          <t>NC</t>
        </is>
      </c>
      <c r="E245" t="n">
        <v>1001</v>
      </c>
      <c r="F245" t="n">
        <v>11001</v>
      </c>
      <c r="G245" t="n">
        <v>53.49</v>
      </c>
      <c r="H245" t="n">
        <v>0.5348973610582649</v>
      </c>
      <c r="I245" t="inlineStr">
        <is>
          <t>elo_sp</t>
        </is>
      </c>
      <c r="J245">
        <f>MAX(H245,1-H245)</f>
        <v/>
      </c>
      <c r="K245">
        <f>_xlfn.IFS(
J245&lt;=0.55,"50~55",
J245&lt;=0.6,"55~60",
J245&lt;=0.65,"60~65",
J245&lt;=0.7,"65~70",
TRUE,"70~100"
)</f>
        <v/>
      </c>
      <c r="L245">
        <f>IF(H245&gt;=0.5,"HOME","AWAY")</f>
        <v/>
      </c>
      <c r="M245">
        <f>IF(AND(N245&lt;&gt;"", OR(N245=0, N245=1)), (J245-N245)^2, "")</f>
        <v/>
      </c>
      <c r="N245" t="n">
        <v>0</v>
      </c>
      <c r="O245">
        <f>IF(AND(N245&lt;&gt;"", OR(N245=0, N245=1)), IF(ROUND(H245,0)=N245, 1, 0), "")</f>
        <v/>
      </c>
    </row>
    <row r="246">
      <c r="A246" t="n">
        <v>20260290</v>
      </c>
      <c r="B246" t="inlineStr">
        <is>
          <t>2026-06-03</t>
        </is>
      </c>
      <c r="C246" t="inlineStr">
        <is>
          <t>KIA</t>
        </is>
      </c>
      <c r="D246" t="inlineStr">
        <is>
          <t>롯데</t>
        </is>
      </c>
      <c r="E246" t="n">
        <v>2002</v>
      </c>
      <c r="F246" t="n">
        <v>3001</v>
      </c>
      <c r="G246" t="n">
        <v>47.73</v>
      </c>
      <c r="H246" t="n">
        <v>0.4773431678572401</v>
      </c>
      <c r="I246" t="inlineStr">
        <is>
          <t>elo_sp</t>
        </is>
      </c>
      <c r="J246">
        <f>MAX(H246,1-H246)</f>
        <v/>
      </c>
      <c r="K246">
        <f>_xlfn.IFS(
J246&lt;=0.55,"50~55",
J246&lt;=0.6,"55~60",
J246&lt;=0.65,"60~65",
J246&lt;=0.7,"65~70",
TRUE,"70~100"
)</f>
        <v/>
      </c>
      <c r="L246">
        <f>IF(H246&gt;=0.5,"HOME","AWAY")</f>
        <v/>
      </c>
      <c r="M246">
        <f>IF(AND(N246&lt;&gt;"", OR(N246=0, N246=1)), (J246-N246)^2, "")</f>
        <v/>
      </c>
      <c r="N246" t="n">
        <v>0</v>
      </c>
      <c r="O246">
        <f>IF(AND(N246&lt;&gt;"", OR(N246=0, N246=1)), IF(ROUND(H246,0)=N246, 1, 0), "")</f>
        <v/>
      </c>
    </row>
    <row r="247">
      <c r="A247" t="n">
        <v>20260291</v>
      </c>
      <c r="B247" t="inlineStr">
        <is>
          <t>2026-06-04</t>
        </is>
      </c>
      <c r="C247" t="inlineStr">
        <is>
          <t>두산</t>
        </is>
      </c>
      <c r="D247" t="inlineStr">
        <is>
          <t>한화</t>
        </is>
      </c>
      <c r="E247" t="n">
        <v>6002</v>
      </c>
      <c r="F247" t="n">
        <v>7002</v>
      </c>
      <c r="G247" t="n">
        <v>45.32</v>
      </c>
      <c r="H247" t="n">
        <v>0.4532060174587096</v>
      </c>
      <c r="I247" t="inlineStr">
        <is>
          <t>elo_sp</t>
        </is>
      </c>
      <c r="J247">
        <f>MAX(H247,1-H247)</f>
        <v/>
      </c>
      <c r="K247">
        <f>_xlfn.IFS(
J247&lt;=0.55,"50~55",
J247&lt;=0.6,"55~60",
J247&lt;=0.65,"60~65",
J247&lt;=0.7,"65~70",
TRUE,"70~100"
)</f>
        <v/>
      </c>
      <c r="L247">
        <f>IF(H247&gt;=0.5,"HOME","AWAY")</f>
        <v/>
      </c>
      <c r="M247">
        <f>IF(AND(N247&lt;&gt;"", OR(N247=0, N247=1)), (J247-N247)^2, "")</f>
        <v/>
      </c>
      <c r="N247" t="n">
        <v>1</v>
      </c>
      <c r="O247">
        <f>IF(AND(N247&lt;&gt;"", OR(N247=0, N247=1)), IF(ROUND(H247,0)=N247, 1, 0), "")</f>
        <v/>
      </c>
    </row>
    <row r="248">
      <c r="A248" t="n">
        <v>20260292</v>
      </c>
      <c r="B248" t="inlineStr">
        <is>
          <t>2026-06-04</t>
        </is>
      </c>
      <c r="C248" t="inlineStr">
        <is>
          <t>SSG</t>
        </is>
      </c>
      <c r="D248" t="inlineStr">
        <is>
          <t>키움</t>
        </is>
      </c>
      <c r="E248" t="n">
        <v>9002</v>
      </c>
      <c r="F248" t="n">
        <v>10001</v>
      </c>
      <c r="G248" t="n">
        <v>49.96</v>
      </c>
      <c r="H248" t="n">
        <v>0.4995981201732678</v>
      </c>
      <c r="I248" t="inlineStr">
        <is>
          <t>elo_sp</t>
        </is>
      </c>
      <c r="J248">
        <f>MAX(H248,1-H248)</f>
        <v/>
      </c>
      <c r="K248">
        <f>_xlfn.IFS(
J248&lt;=0.55,"50~55",
J248&lt;=0.6,"55~60",
J248&lt;=0.65,"60~65",
J248&lt;=0.7,"65~70",
TRUE,"70~100"
)</f>
        <v/>
      </c>
      <c r="L248">
        <f>IF(H248&gt;=0.5,"HOME","AWAY")</f>
        <v/>
      </c>
      <c r="M248">
        <f>IF(AND(N248&lt;&gt;"", OR(N248=0, N248=1)), (J248-N248)^2, "")</f>
        <v/>
      </c>
      <c r="N248" t="n">
        <v>1</v>
      </c>
      <c r="O248">
        <f>IF(AND(N248&lt;&gt;"", OR(N248=0, N248=1)), IF(ROUND(H248,0)=N248, 1, 0), "")</f>
        <v/>
      </c>
    </row>
    <row r="249">
      <c r="A249" t="n">
        <v>20260293</v>
      </c>
      <c r="B249" t="inlineStr">
        <is>
          <t>2026-06-04</t>
        </is>
      </c>
      <c r="C249" t="inlineStr">
        <is>
          <t>KT</t>
        </is>
      </c>
      <c r="D249" t="inlineStr">
        <is>
          <t>LG</t>
        </is>
      </c>
      <c r="E249" t="n">
        <v>12001</v>
      </c>
      <c r="F249" t="n">
        <v>5002</v>
      </c>
      <c r="G249" t="n">
        <v>29.68</v>
      </c>
      <c r="H249" t="n">
        <v>0.2968326893974699</v>
      </c>
      <c r="I249" t="inlineStr">
        <is>
          <t>elo_sp</t>
        </is>
      </c>
      <c r="J249">
        <f>MAX(H249,1-H249)</f>
        <v/>
      </c>
      <c r="K249">
        <f>_xlfn.IFS(
J249&lt;=0.55,"50~55",
J249&lt;=0.6,"55~60",
J249&lt;=0.65,"60~65",
J249&lt;=0.7,"65~70",
TRUE,"70~100"
)</f>
        <v/>
      </c>
      <c r="L249">
        <f>IF(H249&gt;=0.5,"HOME","AWAY")</f>
        <v/>
      </c>
      <c r="M249">
        <f>IF(AND(N249&lt;&gt;"", OR(N249=0, N249=1)), (J249-N249)^2, "")</f>
        <v/>
      </c>
      <c r="N249" t="n">
        <v>0</v>
      </c>
      <c r="O249">
        <f>IF(AND(N249&lt;&gt;"", OR(N249=0, N249=1)), IF(ROUND(H249,0)=N249, 1, 0), "")</f>
        <v/>
      </c>
    </row>
    <row r="250">
      <c r="A250" t="n">
        <v>20260294</v>
      </c>
      <c r="B250" t="inlineStr">
        <is>
          <t>2026-06-04</t>
        </is>
      </c>
      <c r="C250" t="inlineStr">
        <is>
          <t>삼성</t>
        </is>
      </c>
      <c r="D250" t="inlineStr">
        <is>
          <t>NC</t>
        </is>
      </c>
      <c r="E250" t="n">
        <v>1001</v>
      </c>
      <c r="F250" t="n">
        <v>11001</v>
      </c>
      <c r="G250" t="n">
        <v>58.27</v>
      </c>
      <c r="H250" t="n">
        <v>0.5827117742385838</v>
      </c>
      <c r="I250" t="inlineStr">
        <is>
          <t>elo_sp</t>
        </is>
      </c>
      <c r="J250">
        <f>MAX(H250,1-H250)</f>
        <v/>
      </c>
      <c r="K250">
        <f>_xlfn.IFS(
J250&lt;=0.55,"50~55",
J250&lt;=0.6,"55~60",
J250&lt;=0.65,"60~65",
J250&lt;=0.7,"65~70",
TRUE,"70~100"
)</f>
        <v/>
      </c>
      <c r="L250">
        <f>IF(H250&gt;=0.5,"HOME","AWAY")</f>
        <v/>
      </c>
      <c r="M250">
        <f>IF(AND(N250&lt;&gt;"", OR(N250=0, N250=1)), (J250-N250)^2, "")</f>
        <v/>
      </c>
      <c r="N250" t="n">
        <v>0</v>
      </c>
      <c r="O250">
        <f>IF(AND(N250&lt;&gt;"", OR(N250=0, N250=1)), IF(ROUND(H250,0)=N250, 1, 0), "")</f>
        <v/>
      </c>
    </row>
    <row r="251">
      <c r="A251" t="n">
        <v>20260295</v>
      </c>
      <c r="B251" t="inlineStr">
        <is>
          <t>2026-06-04</t>
        </is>
      </c>
      <c r="C251" t="inlineStr">
        <is>
          <t>KIA</t>
        </is>
      </c>
      <c r="D251" t="inlineStr">
        <is>
          <t>롯데</t>
        </is>
      </c>
      <c r="E251" t="n">
        <v>2002</v>
      </c>
      <c r="F251" t="n">
        <v>3001</v>
      </c>
      <c r="G251" t="n">
        <v>42.31</v>
      </c>
      <c r="H251" t="n">
        <v>0.4231335408907291</v>
      </c>
      <c r="I251" t="inlineStr">
        <is>
          <t>elo_sp</t>
        </is>
      </c>
      <c r="J251">
        <f>MAX(H251,1-H251)</f>
        <v/>
      </c>
      <c r="K251">
        <f>_xlfn.IFS(
J251&lt;=0.55,"50~55",
J251&lt;=0.6,"55~60",
J251&lt;=0.65,"60~65",
J251&lt;=0.7,"65~70",
TRUE,"70~100"
)</f>
        <v/>
      </c>
      <c r="L251">
        <f>IF(H251&gt;=0.5,"HOME","AWAY")</f>
        <v/>
      </c>
      <c r="M251">
        <f>IF(AND(N251&lt;&gt;"", OR(N251=0, N251=1)), (J251-N251)^2, "")</f>
        <v/>
      </c>
      <c r="N251" t="n">
        <v>1</v>
      </c>
      <c r="O251">
        <f>IF(AND(N251&lt;&gt;"", OR(N251=0, N251=1)), IF(ROUND(H251,0)=N251, 1, 0), "")</f>
        <v/>
      </c>
    </row>
    <row r="252">
      <c r="A252" t="n">
        <v>20260296</v>
      </c>
      <c r="B252" t="inlineStr">
        <is>
          <t>2026-06-05</t>
        </is>
      </c>
      <c r="C252" t="inlineStr">
        <is>
          <t>두산</t>
        </is>
      </c>
      <c r="D252" t="inlineStr">
        <is>
          <t>키움</t>
        </is>
      </c>
      <c r="E252" t="n">
        <v>6002</v>
      </c>
      <c r="F252" t="n">
        <v>10001</v>
      </c>
      <c r="G252" t="n">
        <v>52.43</v>
      </c>
      <c r="H252" t="n">
        <v>0.5242717593768887</v>
      </c>
      <c r="I252" t="inlineStr">
        <is>
          <t>elo_sp</t>
        </is>
      </c>
      <c r="J252">
        <f>MAX(H252,1-H252)</f>
        <v/>
      </c>
      <c r="K252">
        <f>_xlfn.IFS(
J252&lt;=0.55,"50~55",
J252&lt;=0.6,"55~60",
J252&lt;=0.65,"60~65",
J252&lt;=0.7,"65~70",
TRUE,"70~100"
)</f>
        <v/>
      </c>
      <c r="L252">
        <f>IF(H252&gt;=0.5,"HOME","AWAY")</f>
        <v/>
      </c>
      <c r="M252">
        <f>IF(AND(N252&lt;&gt;"", OR(N252=0, N252=1)), (J252-N252)^2, "")</f>
        <v/>
      </c>
      <c r="N252" t="n">
        <v>1</v>
      </c>
      <c r="O252">
        <f>IF(AND(N252&lt;&gt;"", OR(N252=0, N252=1)), IF(ROUND(H252,0)=N252, 1, 0), "")</f>
        <v/>
      </c>
    </row>
    <row r="253">
      <c r="A253" t="n">
        <v>20260297</v>
      </c>
      <c r="B253" t="inlineStr">
        <is>
          <t>2026-06-05</t>
        </is>
      </c>
      <c r="C253" t="inlineStr">
        <is>
          <t>SSG</t>
        </is>
      </c>
      <c r="D253" t="inlineStr">
        <is>
          <t>KT</t>
        </is>
      </c>
      <c r="E253" t="n">
        <v>9002</v>
      </c>
      <c r="F253" t="n">
        <v>12001</v>
      </c>
      <c r="G253" t="n">
        <v>78.13</v>
      </c>
      <c r="H253" t="n">
        <v>0.7812697312653079</v>
      </c>
      <c r="I253" t="inlineStr">
        <is>
          <t>elo_sp</t>
        </is>
      </c>
      <c r="J253">
        <f>MAX(H253,1-H253)</f>
        <v/>
      </c>
      <c r="K253">
        <f>_xlfn.IFS(
J253&lt;=0.55,"50~55",
J253&lt;=0.6,"55~60",
J253&lt;=0.65,"60~65",
J253&lt;=0.7,"65~70",
TRUE,"70~100"
)</f>
        <v/>
      </c>
      <c r="L253">
        <f>IF(H253&gt;=0.5,"HOME","AWAY")</f>
        <v/>
      </c>
      <c r="M253">
        <f>IF(AND(N253&lt;&gt;"", OR(N253=0, N253=1)), (J253-N253)^2, "")</f>
        <v/>
      </c>
      <c r="N253" t="n">
        <v>1</v>
      </c>
      <c r="O253">
        <f>IF(AND(N253&lt;&gt;"", OR(N253=0, N253=1)), IF(ROUND(H253,0)=N253, 1, 0), "")</f>
        <v/>
      </c>
    </row>
    <row r="254">
      <c r="A254" t="n">
        <v>20260298</v>
      </c>
      <c r="B254" t="inlineStr">
        <is>
          <t>2026-06-05</t>
        </is>
      </c>
      <c r="C254" t="inlineStr">
        <is>
          <t>KIA</t>
        </is>
      </c>
      <c r="D254" t="inlineStr">
        <is>
          <t>삼성</t>
        </is>
      </c>
      <c r="E254" t="n">
        <v>2002</v>
      </c>
      <c r="F254" t="n">
        <v>1001</v>
      </c>
      <c r="G254" t="n">
        <v>57.45</v>
      </c>
      <c r="H254" t="n">
        <v>0.5745012661636795</v>
      </c>
      <c r="I254" t="inlineStr">
        <is>
          <t>elo_sp</t>
        </is>
      </c>
      <c r="J254">
        <f>MAX(H254,1-H254)</f>
        <v/>
      </c>
      <c r="K254">
        <f>_xlfn.IFS(
J254&lt;=0.55,"50~55",
J254&lt;=0.6,"55~60",
J254&lt;=0.65,"60~65",
J254&lt;=0.7,"65~70",
TRUE,"70~100"
)</f>
        <v/>
      </c>
      <c r="L254">
        <f>IF(H254&gt;=0.5,"HOME","AWAY")</f>
        <v/>
      </c>
      <c r="M254">
        <f>IF(AND(N254&lt;&gt;"", OR(N254=0, N254=1)), (J254-N254)^2, "")</f>
        <v/>
      </c>
      <c r="N254" t="n">
        <v>1</v>
      </c>
      <c r="O254">
        <f>IF(AND(N254&lt;&gt;"", OR(N254=0, N254=1)), IF(ROUND(H254,0)=N254, 1, 0), "")</f>
        <v/>
      </c>
    </row>
    <row r="255">
      <c r="A255" t="n">
        <v>20260299</v>
      </c>
      <c r="B255" t="inlineStr">
        <is>
          <t>2026-06-05</t>
        </is>
      </c>
      <c r="C255" t="inlineStr">
        <is>
          <t>롯데</t>
        </is>
      </c>
      <c r="D255" t="inlineStr">
        <is>
          <t>한화</t>
        </is>
      </c>
      <c r="E255" t="n">
        <v>3001</v>
      </c>
      <c r="F255" t="n">
        <v>7002</v>
      </c>
      <c r="G255" t="n">
        <v>40.12</v>
      </c>
      <c r="H255" t="n">
        <v>0.4011505698183581</v>
      </c>
      <c r="I255" t="inlineStr">
        <is>
          <t>elo_sp</t>
        </is>
      </c>
      <c r="J255">
        <f>MAX(H255,1-H255)</f>
        <v/>
      </c>
      <c r="K255">
        <f>_xlfn.IFS(
J255&lt;=0.55,"50~55",
J255&lt;=0.6,"55~60",
J255&lt;=0.65,"60~65",
J255&lt;=0.7,"65~70",
TRUE,"70~100"
)</f>
        <v/>
      </c>
      <c r="L255">
        <f>IF(H255&gt;=0.5,"HOME","AWAY")</f>
        <v/>
      </c>
      <c r="M255">
        <f>IF(AND(N255&lt;&gt;"", OR(N255=0, N255=1)), (J255-N255)^2, "")</f>
        <v/>
      </c>
      <c r="N255" t="n">
        <v>0</v>
      </c>
      <c r="O255">
        <f>IF(AND(N255&lt;&gt;"", OR(N255=0, N255=1)), IF(ROUND(H255,0)=N255, 1, 0), "")</f>
        <v/>
      </c>
    </row>
    <row r="256">
      <c r="A256" t="n">
        <v>20260300</v>
      </c>
      <c r="B256" t="inlineStr">
        <is>
          <t>2026-06-05</t>
        </is>
      </c>
      <c r="C256" t="inlineStr">
        <is>
          <t>NC</t>
        </is>
      </c>
      <c r="D256" t="inlineStr">
        <is>
          <t>LG</t>
        </is>
      </c>
      <c r="E256" t="n">
        <v>11001</v>
      </c>
      <c r="F256" t="n">
        <v>5002</v>
      </c>
      <c r="G256" t="n">
        <v>47.67</v>
      </c>
      <c r="H256" t="n">
        <v>0.4767065819330182</v>
      </c>
      <c r="I256" t="inlineStr">
        <is>
          <t>elo_sp</t>
        </is>
      </c>
      <c r="J256">
        <f>MAX(H256,1-H256)</f>
        <v/>
      </c>
      <c r="K256">
        <f>_xlfn.IFS(
J256&lt;=0.55,"50~55",
J256&lt;=0.6,"55~60",
J256&lt;=0.65,"60~65",
J256&lt;=0.7,"65~70",
TRUE,"70~100"
)</f>
        <v/>
      </c>
      <c r="L256">
        <f>IF(H256&gt;=0.5,"HOME","AWAY")</f>
        <v/>
      </c>
      <c r="M256">
        <f>IF(AND(N256&lt;&gt;"", OR(N256=0, N256=1)), (J256-N256)^2, "")</f>
        <v/>
      </c>
      <c r="N256" t="n">
        <v>0</v>
      </c>
      <c r="O256">
        <f>IF(AND(N256&lt;&gt;"", OR(N256=0, N256=1)), IF(ROUND(H256,0)=N256, 1, 0), "")</f>
        <v/>
      </c>
    </row>
    <row r="257">
      <c r="A257" t="n">
        <v>20260302</v>
      </c>
      <c r="B257" t="inlineStr">
        <is>
          <t>2026-06-06</t>
        </is>
      </c>
      <c r="C257" t="inlineStr">
        <is>
          <t>SSG</t>
        </is>
      </c>
      <c r="D257" t="inlineStr">
        <is>
          <t>KT</t>
        </is>
      </c>
      <c r="E257" t="n">
        <v>9002</v>
      </c>
      <c r="F257" t="n">
        <v>12001</v>
      </c>
      <c r="G257" t="n">
        <v>53.2</v>
      </c>
      <c r="H257" t="n">
        <v>0.5320013875920084</v>
      </c>
      <c r="I257" t="inlineStr">
        <is>
          <t>elo_sp</t>
        </is>
      </c>
      <c r="J257">
        <f>MAX(H257,1-H257)</f>
        <v/>
      </c>
      <c r="K257">
        <f>_xlfn.IFS(
J257&lt;=0.55,"50~55",
J257&lt;=0.6,"55~60",
J257&lt;=0.65,"60~65",
J257&lt;=0.7,"65~70",
TRUE,"70~100"
)</f>
        <v/>
      </c>
      <c r="L257">
        <f>IF(H257&gt;=0.5,"HOME","AWAY")</f>
        <v/>
      </c>
      <c r="M257">
        <f>IF(AND(N257&lt;&gt;"", OR(N257=0, N257=1)), (J257-N257)^2, "")</f>
        <v/>
      </c>
      <c r="N257" t="n">
        <v>0</v>
      </c>
      <c r="O257">
        <f>IF(AND(N257&lt;&gt;"", OR(N257=0, N257=1)), IF(ROUND(H257,0)=N257, 1, 0), "")</f>
        <v/>
      </c>
    </row>
    <row r="258">
      <c r="A258" t="n">
        <v>20260301</v>
      </c>
      <c r="B258" t="inlineStr">
        <is>
          <t>2026-06-06</t>
        </is>
      </c>
      <c r="C258" t="inlineStr">
        <is>
          <t>두산</t>
        </is>
      </c>
      <c r="D258" t="inlineStr">
        <is>
          <t>키움</t>
        </is>
      </c>
      <c r="E258" t="n">
        <v>6002</v>
      </c>
      <c r="F258" t="n">
        <v>10001</v>
      </c>
      <c r="G258" t="n">
        <v>43.23</v>
      </c>
      <c r="H258" t="n">
        <v>0.4322902856024837</v>
      </c>
      <c r="I258" t="inlineStr">
        <is>
          <t>elo_sp</t>
        </is>
      </c>
      <c r="J258">
        <f>MAX(H258,1-H258)</f>
        <v/>
      </c>
      <c r="K258">
        <f>_xlfn.IFS(
J258&lt;=0.55,"50~55",
J258&lt;=0.6,"55~60",
J258&lt;=0.65,"60~65",
J258&lt;=0.7,"65~70",
TRUE,"70~100"
)</f>
        <v/>
      </c>
      <c r="L258">
        <f>IF(H258&gt;=0.5,"HOME","AWAY")</f>
        <v/>
      </c>
      <c r="M258">
        <f>IF(AND(N258&lt;&gt;"", OR(N258=0, N258=1)), (J258-N258)^2, "")</f>
        <v/>
      </c>
      <c r="N258" t="n">
        <v>1</v>
      </c>
      <c r="O258">
        <f>IF(AND(N258&lt;&gt;"", OR(N258=0, N258=1)), IF(ROUND(H258,0)=N258, 1, 0), "")</f>
        <v/>
      </c>
    </row>
    <row r="259">
      <c r="A259" t="n">
        <v>20260303</v>
      </c>
      <c r="B259" t="inlineStr">
        <is>
          <t>2026-06-06</t>
        </is>
      </c>
      <c r="C259" t="inlineStr">
        <is>
          <t>KIA</t>
        </is>
      </c>
      <c r="D259" t="inlineStr">
        <is>
          <t>삼성</t>
        </is>
      </c>
      <c r="E259" t="n">
        <v>2002</v>
      </c>
      <c r="F259" t="n">
        <v>1001</v>
      </c>
      <c r="G259" t="n">
        <v>45.12</v>
      </c>
      <c r="H259" t="n">
        <v>0.451235176491489</v>
      </c>
      <c r="I259" t="inlineStr">
        <is>
          <t>elo_sp</t>
        </is>
      </c>
      <c r="J259">
        <f>MAX(H259,1-H259)</f>
        <v/>
      </c>
      <c r="K259">
        <f>_xlfn.IFS(
J259&lt;=0.55,"50~55",
J259&lt;=0.6,"55~60",
J259&lt;=0.65,"60~65",
J259&lt;=0.7,"65~70",
TRUE,"70~100"
)</f>
        <v/>
      </c>
      <c r="L259">
        <f>IF(H259&gt;=0.5,"HOME","AWAY")</f>
        <v/>
      </c>
      <c r="M259">
        <f>IF(AND(N259&lt;&gt;"", OR(N259=0, N259=1)), (J259-N259)^2, "")</f>
        <v/>
      </c>
      <c r="N259" t="n">
        <v>0</v>
      </c>
      <c r="O259">
        <f>IF(AND(N259&lt;&gt;"", OR(N259=0, N259=1)), IF(ROUND(H259,0)=N259, 1, 0), "")</f>
        <v/>
      </c>
    </row>
    <row r="260">
      <c r="A260" t="n">
        <v>20260304</v>
      </c>
      <c r="B260" t="inlineStr">
        <is>
          <t>2026-06-06</t>
        </is>
      </c>
      <c r="C260" t="inlineStr">
        <is>
          <t>롯데</t>
        </is>
      </c>
      <c r="D260" t="inlineStr">
        <is>
          <t>한화</t>
        </is>
      </c>
      <c r="E260" t="n">
        <v>3001</v>
      </c>
      <c r="F260" t="n">
        <v>7002</v>
      </c>
      <c r="G260" t="n">
        <v>30.73</v>
      </c>
      <c r="H260" t="n">
        <v>0.3073093124256324</v>
      </c>
      <c r="I260" t="inlineStr">
        <is>
          <t>elo_sp</t>
        </is>
      </c>
      <c r="J260">
        <f>MAX(H260,1-H260)</f>
        <v/>
      </c>
      <c r="K260">
        <f>_xlfn.IFS(
J260&lt;=0.55,"50~55",
J260&lt;=0.6,"55~60",
J260&lt;=0.65,"60~65",
J260&lt;=0.7,"65~70",
TRUE,"70~100"
)</f>
        <v/>
      </c>
      <c r="L260">
        <f>IF(H260&gt;=0.5,"HOME","AWAY")</f>
        <v/>
      </c>
      <c r="M260">
        <f>IF(AND(N260&lt;&gt;"", OR(N260=0, N260=1)), (J260-N260)^2, "")</f>
        <v/>
      </c>
      <c r="N260" t="n">
        <v>0</v>
      </c>
      <c r="O260">
        <f>IF(AND(N260&lt;&gt;"", OR(N260=0, N260=1)), IF(ROUND(H260,0)=N260, 1, 0), "")</f>
        <v/>
      </c>
    </row>
    <row r="261">
      <c r="A261" t="n">
        <v>20260305</v>
      </c>
      <c r="B261" t="inlineStr">
        <is>
          <t>2026-06-06</t>
        </is>
      </c>
      <c r="C261" t="inlineStr">
        <is>
          <t>NC</t>
        </is>
      </c>
      <c r="D261" t="inlineStr">
        <is>
          <t>LG</t>
        </is>
      </c>
      <c r="E261" t="n">
        <v>11001</v>
      </c>
      <c r="F261" t="n">
        <v>5002</v>
      </c>
      <c r="G261" t="n">
        <v>36.05</v>
      </c>
      <c r="H261" t="n">
        <v>0.3605080692324525</v>
      </c>
      <c r="I261" t="inlineStr">
        <is>
          <t>elo_sp</t>
        </is>
      </c>
      <c r="J261">
        <f>MAX(H261,1-H261)</f>
        <v/>
      </c>
      <c r="K261">
        <f>_xlfn.IFS(
J261&lt;=0.55,"50~55",
J261&lt;=0.6,"55~60",
J261&lt;=0.65,"60~65",
J261&lt;=0.7,"65~70",
TRUE,"70~100"
)</f>
        <v/>
      </c>
      <c r="L261">
        <f>IF(H261&gt;=0.5,"HOME","AWAY")</f>
        <v/>
      </c>
      <c r="M261">
        <f>IF(AND(N261&lt;&gt;"", OR(N261=0, N261=1)), (J261-N261)^2, "")</f>
        <v/>
      </c>
      <c r="N261" t="n">
        <v>1</v>
      </c>
      <c r="O261">
        <f>IF(AND(N261&lt;&gt;"", OR(N261=0, N261=1)), IF(ROUND(H261,0)=N261, 1, 0), "")</f>
        <v/>
      </c>
    </row>
    <row r="262">
      <c r="A262" t="n">
        <v>20260306</v>
      </c>
      <c r="B262" t="inlineStr">
        <is>
          <t>2026-06-07</t>
        </is>
      </c>
      <c r="C262" t="inlineStr">
        <is>
          <t>두산</t>
        </is>
      </c>
      <c r="D262" t="inlineStr">
        <is>
          <t>키움</t>
        </is>
      </c>
      <c r="E262" t="n">
        <v>6002</v>
      </c>
      <c r="F262" t="n">
        <v>10001</v>
      </c>
      <c r="G262" t="n">
        <v>61.02</v>
      </c>
      <c r="H262" t="n">
        <v>0.6101912682912011</v>
      </c>
      <c r="I262" t="inlineStr">
        <is>
          <t>elo_sp</t>
        </is>
      </c>
      <c r="J262">
        <f>MAX(H262,1-H262)</f>
        <v/>
      </c>
      <c r="K262">
        <f>_xlfn.IFS(
J262&lt;=0.55,"50~55",
J262&lt;=0.6,"55~60",
J262&lt;=0.65,"60~65",
J262&lt;=0.7,"65~70",
TRUE,"70~100"
)</f>
        <v/>
      </c>
      <c r="L262">
        <f>IF(H262&gt;=0.5,"HOME","AWAY")</f>
        <v/>
      </c>
      <c r="M262">
        <f>IF(AND(N262&lt;&gt;"", OR(N262=0, N262=1)), (J262-N262)^2, "")</f>
        <v/>
      </c>
      <c r="N262" t="n">
        <v>0</v>
      </c>
      <c r="O262">
        <f>IF(AND(N262&lt;&gt;"", OR(N262=0, N262=1)), IF(ROUND(H262,0)=N262, 1, 0), "")</f>
        <v/>
      </c>
    </row>
    <row r="263">
      <c r="A263" t="n">
        <v>20260307</v>
      </c>
      <c r="B263" t="inlineStr">
        <is>
          <t>2026-06-07</t>
        </is>
      </c>
      <c r="C263" t="inlineStr">
        <is>
          <t>SSG</t>
        </is>
      </c>
      <c r="D263" t="inlineStr">
        <is>
          <t>KT</t>
        </is>
      </c>
      <c r="E263" t="n">
        <v>9002</v>
      </c>
      <c r="F263" t="n">
        <v>12001</v>
      </c>
      <c r="G263" t="n">
        <v>33.51</v>
      </c>
      <c r="H263" t="n">
        <v>0.3351421901864743</v>
      </c>
      <c r="I263" t="inlineStr">
        <is>
          <t>elo_sp</t>
        </is>
      </c>
      <c r="J263">
        <f>MAX(H263,1-H263)</f>
        <v/>
      </c>
      <c r="K263">
        <f>_xlfn.IFS(
J263&lt;=0.55,"50~55",
J263&lt;=0.6,"55~60",
J263&lt;=0.65,"60~65",
J263&lt;=0.7,"65~70",
TRUE,"70~100"
)</f>
        <v/>
      </c>
      <c r="L263">
        <f>IF(H263&gt;=0.5,"HOME","AWAY")</f>
        <v/>
      </c>
      <c r="M263">
        <f>IF(AND(N263&lt;&gt;"", OR(N263=0, N263=1)), (J263-N263)^2, "")</f>
        <v/>
      </c>
      <c r="N263" t="n">
        <v>1</v>
      </c>
      <c r="O263">
        <f>IF(AND(N263&lt;&gt;"", OR(N263=0, N263=1)), IF(ROUND(H263,0)=N263, 1, 0), "")</f>
        <v/>
      </c>
    </row>
    <row r="264">
      <c r="A264" t="n">
        <v>20260308</v>
      </c>
      <c r="B264" t="inlineStr">
        <is>
          <t>2026-06-07</t>
        </is>
      </c>
      <c r="C264" t="inlineStr">
        <is>
          <t>KIA</t>
        </is>
      </c>
      <c r="D264" t="inlineStr">
        <is>
          <t>삼성</t>
        </is>
      </c>
      <c r="E264" t="n">
        <v>2002</v>
      </c>
      <c r="F264" t="n">
        <v>1001</v>
      </c>
      <c r="G264" t="n">
        <v>47.84</v>
      </c>
      <c r="H264" t="n">
        <v>0.4784382534388498</v>
      </c>
      <c r="I264" t="inlineStr">
        <is>
          <t>elo_sp</t>
        </is>
      </c>
      <c r="J264">
        <f>MAX(H264,1-H264)</f>
        <v/>
      </c>
      <c r="K264">
        <f>_xlfn.IFS(
J264&lt;=0.55,"50~55",
J264&lt;=0.6,"55~60",
J264&lt;=0.65,"60~65",
J264&lt;=0.7,"65~70",
TRUE,"70~100"
)</f>
        <v/>
      </c>
      <c r="L264">
        <f>IF(H264&gt;=0.5,"HOME","AWAY")</f>
        <v/>
      </c>
      <c r="M264">
        <f>IF(AND(N264&lt;&gt;"", OR(N264=0, N264=1)), (J264-N264)^2, "")</f>
        <v/>
      </c>
      <c r="N264" t="n">
        <v>1</v>
      </c>
      <c r="O264">
        <f>IF(AND(N264&lt;&gt;"", OR(N264=0, N264=1)), IF(ROUND(H264,0)=N264, 1, 0), "")</f>
        <v/>
      </c>
    </row>
    <row r="265">
      <c r="A265" t="n">
        <v>20260309</v>
      </c>
      <c r="B265" t="inlineStr">
        <is>
          <t>2026-06-07</t>
        </is>
      </c>
      <c r="C265" t="inlineStr">
        <is>
          <t>롯데</t>
        </is>
      </c>
      <c r="D265" t="inlineStr">
        <is>
          <t>한화</t>
        </is>
      </c>
      <c r="E265" t="n">
        <v>3001</v>
      </c>
      <c r="F265" t="n">
        <v>7002</v>
      </c>
      <c r="G265" t="n">
        <v>55.62</v>
      </c>
      <c r="H265" t="n">
        <v>0.5561658120962157</v>
      </c>
      <c r="I265" t="inlineStr">
        <is>
          <t>elo_sp</t>
        </is>
      </c>
      <c r="J265">
        <f>MAX(H265,1-H265)</f>
        <v/>
      </c>
      <c r="K265">
        <f>_xlfn.IFS(
J265&lt;=0.55,"50~55",
J265&lt;=0.6,"55~60",
J265&lt;=0.65,"60~65",
J265&lt;=0.7,"65~70",
TRUE,"70~100"
)</f>
        <v/>
      </c>
      <c r="L265">
        <f>IF(H265&gt;=0.5,"HOME","AWAY")</f>
        <v/>
      </c>
      <c r="M265">
        <f>IF(AND(N265&lt;&gt;"", OR(N265=0, N265=1)), (J265-N265)^2, "")</f>
        <v/>
      </c>
      <c r="N265" t="n">
        <v>0</v>
      </c>
      <c r="O265">
        <f>IF(AND(N265&lt;&gt;"", OR(N265=0, N265=1)), IF(ROUND(H265,0)=N265, 1, 0), "")</f>
        <v/>
      </c>
    </row>
    <row r="266">
      <c r="A266" t="n">
        <v>20260310</v>
      </c>
      <c r="B266" t="inlineStr">
        <is>
          <t>2026-06-07</t>
        </is>
      </c>
      <c r="C266" t="inlineStr">
        <is>
          <t>NC</t>
        </is>
      </c>
      <c r="D266" t="inlineStr">
        <is>
          <t>LG</t>
        </is>
      </c>
      <c r="E266" t="n">
        <v>11001</v>
      </c>
      <c r="F266" t="n">
        <v>5002</v>
      </c>
      <c r="G266" t="n">
        <v>40.47</v>
      </c>
      <c r="H266" t="n">
        <v>0.4047272179141277</v>
      </c>
      <c r="I266" t="inlineStr">
        <is>
          <t>elo_sp</t>
        </is>
      </c>
      <c r="J266">
        <f>MAX(H266,1-H266)</f>
        <v/>
      </c>
      <c r="K266">
        <f>_xlfn.IFS(
J266&lt;=0.55,"50~55",
J266&lt;=0.6,"55~60",
J266&lt;=0.65,"60~65",
J266&lt;=0.7,"65~70",
TRUE,"70~100"
)</f>
        <v/>
      </c>
      <c r="L266">
        <f>IF(H266&gt;=0.5,"HOME","AWAY")</f>
        <v/>
      </c>
      <c r="M266">
        <f>IF(AND(N266&lt;&gt;"", OR(N266=0, N266=1)), (J266-N266)^2, "")</f>
        <v/>
      </c>
      <c r="N266" t="n">
        <v>1</v>
      </c>
      <c r="O266">
        <f>IF(AND(N266&lt;&gt;"", OR(N266=0, N266=1)), IF(ROUND(H266,0)=N266, 1, 0), "")</f>
        <v/>
      </c>
    </row>
    <row r="267">
      <c r="A267" t="n">
        <v>20260311</v>
      </c>
      <c r="B267" t="inlineStr">
        <is>
          <t>2026-06-09</t>
        </is>
      </c>
      <c r="C267" t="inlineStr">
        <is>
          <t>LG</t>
        </is>
      </c>
      <c r="D267" t="inlineStr">
        <is>
          <t>SSG</t>
        </is>
      </c>
      <c r="E267" t="n">
        <v>5002</v>
      </c>
      <c r="F267" t="n">
        <v>9002</v>
      </c>
      <c r="G267" t="n">
        <v>60.75</v>
      </c>
      <c r="H267" t="n">
        <v>0.6074999709017321</v>
      </c>
      <c r="I267" t="inlineStr">
        <is>
          <t>elo_sp</t>
        </is>
      </c>
      <c r="J267">
        <f>MAX(H267,1-H267)</f>
        <v/>
      </c>
      <c r="K267">
        <f>_xlfn.IFS(
J267&lt;=0.55,"50~55",
J267&lt;=0.6,"55~60",
J267&lt;=0.65,"60~65",
J267&lt;=0.7,"65~70",
TRUE,"70~100"
)</f>
        <v/>
      </c>
      <c r="L267">
        <f>IF(H267&gt;=0.5,"HOME","AWAY")</f>
        <v/>
      </c>
      <c r="M267">
        <f>IF(AND(N267&lt;&gt;"", OR(N267=0, N267=1)), (J267-N267)^2, "")</f>
        <v/>
      </c>
      <c r="N267" t="n">
        <v>1</v>
      </c>
      <c r="O267">
        <f>IF(AND(N267&lt;&gt;"", OR(N267=0, N267=1)), IF(ROUND(H267,0)=N267, 1, 0), "")</f>
        <v/>
      </c>
    </row>
    <row r="268">
      <c r="A268" t="n">
        <v>20260312</v>
      </c>
      <c r="B268" t="inlineStr">
        <is>
          <t>2026-06-09</t>
        </is>
      </c>
      <c r="C268" t="inlineStr">
        <is>
          <t>키움</t>
        </is>
      </c>
      <c r="D268" t="inlineStr">
        <is>
          <t>NC</t>
        </is>
      </c>
      <c r="E268" t="n">
        <v>10001</v>
      </c>
      <c r="F268" t="n">
        <v>11001</v>
      </c>
      <c r="G268" t="n">
        <v>63.7</v>
      </c>
      <c r="H268" t="n">
        <v>0.6369618322304653</v>
      </c>
      <c r="I268" t="inlineStr">
        <is>
          <t>elo_sp</t>
        </is>
      </c>
      <c r="J268">
        <f>MAX(H268,1-H268)</f>
        <v/>
      </c>
      <c r="K268">
        <f>_xlfn.IFS(
J268&lt;=0.55,"50~55",
J268&lt;=0.6,"55~60",
J268&lt;=0.65,"60~65",
J268&lt;=0.7,"65~70",
TRUE,"70~100"
)</f>
        <v/>
      </c>
      <c r="L268">
        <f>IF(H268&gt;=0.5,"HOME","AWAY")</f>
        <v/>
      </c>
      <c r="M268">
        <f>IF(AND(N268&lt;&gt;"", OR(N268=0, N268=1)), (J268-N268)^2, "")</f>
        <v/>
      </c>
      <c r="N268" t="n">
        <v>1</v>
      </c>
      <c r="O268">
        <f>IF(AND(N268&lt;&gt;"", OR(N268=0, N268=1)), IF(ROUND(H268,0)=N268, 1, 0), "")</f>
        <v/>
      </c>
    </row>
    <row r="269">
      <c r="A269" t="n">
        <v>20260313</v>
      </c>
      <c r="B269" t="inlineStr">
        <is>
          <t>2026-06-09</t>
        </is>
      </c>
      <c r="C269" t="inlineStr">
        <is>
          <t>KT</t>
        </is>
      </c>
      <c r="D269" t="inlineStr">
        <is>
          <t>삼성</t>
        </is>
      </c>
      <c r="E269" t="n">
        <v>12001</v>
      </c>
      <c r="F269" t="n">
        <v>1001</v>
      </c>
      <c r="G269" t="n">
        <v>50</v>
      </c>
      <c r="H269" t="n">
        <v>0.4999959689519978</v>
      </c>
      <c r="I269" t="inlineStr">
        <is>
          <t>elo_sp</t>
        </is>
      </c>
      <c r="J269">
        <f>MAX(H269,1-H269)</f>
        <v/>
      </c>
      <c r="K269">
        <f>_xlfn.IFS(
J269&lt;=0.55,"50~55",
J269&lt;=0.6,"55~60",
J269&lt;=0.65,"60~65",
J269&lt;=0.7,"65~70",
TRUE,"70~100"
)</f>
        <v/>
      </c>
      <c r="L269">
        <f>IF(H269&gt;=0.5,"HOME","AWAY")</f>
        <v/>
      </c>
      <c r="M269">
        <f>IF(AND(N269&lt;&gt;"", OR(N269=0, N269=1)), (J269-N269)^2, "")</f>
        <v/>
      </c>
      <c r="N269" t="n">
        <v>1</v>
      </c>
      <c r="O269">
        <f>IF(AND(N269&lt;&gt;"", OR(N269=0, N269=1)), IF(ROUND(H269,0)=N269, 1, 0), "")</f>
        <v/>
      </c>
    </row>
    <row r="270">
      <c r="A270" t="n">
        <v>20260314</v>
      </c>
      <c r="B270" t="inlineStr">
        <is>
          <t>2026-06-09</t>
        </is>
      </c>
      <c r="C270" t="inlineStr">
        <is>
          <t>한화</t>
        </is>
      </c>
      <c r="D270" t="inlineStr">
        <is>
          <t>KIA</t>
        </is>
      </c>
      <c r="E270" t="n">
        <v>7002</v>
      </c>
      <c r="F270" t="n">
        <v>2002</v>
      </c>
      <c r="G270" t="n">
        <v>57.92</v>
      </c>
      <c r="H270" t="n">
        <v>0.5792440217196286</v>
      </c>
      <c r="I270" t="inlineStr">
        <is>
          <t>elo_sp</t>
        </is>
      </c>
      <c r="J270">
        <f>MAX(H270,1-H270)</f>
        <v/>
      </c>
      <c r="K270">
        <f>_xlfn.IFS(
J270&lt;=0.55,"50~55",
J270&lt;=0.6,"55~60",
J270&lt;=0.65,"60~65",
J270&lt;=0.7,"65~70",
TRUE,"70~100"
)</f>
        <v/>
      </c>
      <c r="L270">
        <f>IF(H270&gt;=0.5,"HOME","AWAY")</f>
        <v/>
      </c>
      <c r="M270">
        <f>IF(AND(N270&lt;&gt;"", OR(N270=0, N270=1)), (J270-N270)^2, "")</f>
        <v/>
      </c>
      <c r="N270" t="n">
        <v>0</v>
      </c>
      <c r="O270">
        <f>IF(AND(N270&lt;&gt;"", OR(N270=0, N270=1)), IF(ROUND(H270,0)=N270, 1, 0), "")</f>
        <v/>
      </c>
    </row>
    <row r="271">
      <c r="A271" t="n">
        <v>20260315</v>
      </c>
      <c r="B271" t="inlineStr">
        <is>
          <t>2026-06-09</t>
        </is>
      </c>
      <c r="C271" t="inlineStr">
        <is>
          <t>롯데</t>
        </is>
      </c>
      <c r="D271" t="inlineStr">
        <is>
          <t>두산</t>
        </is>
      </c>
      <c r="E271" t="n">
        <v>3001</v>
      </c>
      <c r="F271" t="n">
        <v>6002</v>
      </c>
      <c r="G271" t="n">
        <v>33.77</v>
      </c>
      <c r="H271" t="n">
        <v>0.3376632609547007</v>
      </c>
      <c r="I271" t="inlineStr">
        <is>
          <t>elo_sp</t>
        </is>
      </c>
      <c r="J271">
        <f>MAX(H271,1-H271)</f>
        <v/>
      </c>
      <c r="K271">
        <f>_xlfn.IFS(
J271&lt;=0.55,"50~55",
J271&lt;=0.6,"55~60",
J271&lt;=0.65,"60~65",
J271&lt;=0.7,"65~70",
TRUE,"70~100"
)</f>
        <v/>
      </c>
      <c r="L271">
        <f>IF(H271&gt;=0.5,"HOME","AWAY")</f>
        <v/>
      </c>
      <c r="M271">
        <f>IF(AND(N271&lt;&gt;"", OR(N271=0, N271=1)), (J271-N271)^2, "")</f>
        <v/>
      </c>
      <c r="N271" t="n">
        <v>0</v>
      </c>
      <c r="O271">
        <f>IF(AND(N271&lt;&gt;"", OR(N271=0, N271=1)), IF(ROUND(H271,0)=N271, 1, 0), "")</f>
        <v/>
      </c>
    </row>
    <row r="272">
      <c r="A272" t="n">
        <v>20260316</v>
      </c>
      <c r="B272" t="inlineStr">
        <is>
          <t>2026-06-10</t>
        </is>
      </c>
      <c r="C272" t="inlineStr">
        <is>
          <t>LG</t>
        </is>
      </c>
      <c r="D272" t="inlineStr">
        <is>
          <t>SSG</t>
        </is>
      </c>
      <c r="E272" t="n">
        <v>5002</v>
      </c>
      <c r="F272" t="n">
        <v>9002</v>
      </c>
      <c r="G272" t="n">
        <v>65.34999999999999</v>
      </c>
      <c r="H272" t="n">
        <v>0.6535455114098406</v>
      </c>
      <c r="I272" t="inlineStr">
        <is>
          <t>elo_full</t>
        </is>
      </c>
      <c r="J272">
        <f>MAX(H272,1-H272)</f>
        <v/>
      </c>
      <c r="K272">
        <f>_xlfn.IFS(
J272&lt;=0.55,"50~55",
J272&lt;=0.6,"55~60",
J272&lt;=0.65,"60~65",
J272&lt;=0.7,"65~70",
TRUE,"70~100"
)</f>
        <v/>
      </c>
      <c r="L272">
        <f>IF(H272&gt;=0.5,"HOME","AWAY")</f>
        <v/>
      </c>
      <c r="M272">
        <f>IF(AND(N272&lt;&gt;"", OR(N272=0, N272=1)), (J272-N272)^2, "")</f>
        <v/>
      </c>
      <c r="N272" t="n">
        <v>1</v>
      </c>
      <c r="O272">
        <f>IF(AND(N272&lt;&gt;"", OR(N272=0, N272=1)), IF(ROUND(H272,0)=N272, 1, 0), "")</f>
        <v/>
      </c>
    </row>
    <row r="273">
      <c r="A273" t="n">
        <v>20260317</v>
      </c>
      <c r="B273" t="inlineStr">
        <is>
          <t>2026-06-10</t>
        </is>
      </c>
      <c r="C273" t="inlineStr">
        <is>
          <t>키움</t>
        </is>
      </c>
      <c r="D273" t="inlineStr">
        <is>
          <t>NC</t>
        </is>
      </c>
      <c r="E273" t="n">
        <v>10001</v>
      </c>
      <c r="F273" t="n">
        <v>11001</v>
      </c>
      <c r="G273" t="n">
        <v>30.78</v>
      </c>
      <c r="H273" t="n">
        <v>0.3077657803193158</v>
      </c>
      <c r="I273" t="inlineStr">
        <is>
          <t>elo_full</t>
        </is>
      </c>
      <c r="J273">
        <f>MAX(H273,1-H273)</f>
        <v/>
      </c>
      <c r="K273">
        <f>_xlfn.IFS(
J273&lt;=0.55,"50~55",
J273&lt;=0.6,"55~60",
J273&lt;=0.65,"60~65",
J273&lt;=0.7,"65~70",
TRUE,"70~100"
)</f>
        <v/>
      </c>
      <c r="L273">
        <f>IF(H273&gt;=0.5,"HOME","AWAY")</f>
        <v/>
      </c>
      <c r="M273">
        <f>IF(AND(N273&lt;&gt;"", OR(N273=0, N273=1)), (J273-N273)^2, "")</f>
        <v/>
      </c>
      <c r="N273" t="n">
        <v>0</v>
      </c>
      <c r="O273">
        <f>IF(AND(N273&lt;&gt;"", OR(N273=0, N273=1)), IF(ROUND(H273,0)=N273, 1, 0), "")</f>
        <v/>
      </c>
    </row>
    <row r="274">
      <c r="A274" t="n">
        <v>20260318</v>
      </c>
      <c r="B274" t="inlineStr">
        <is>
          <t>2026-06-10</t>
        </is>
      </c>
      <c r="C274" t="inlineStr">
        <is>
          <t>KT</t>
        </is>
      </c>
      <c r="D274" t="inlineStr">
        <is>
          <t>삼성</t>
        </is>
      </c>
      <c r="E274" t="n">
        <v>12001</v>
      </c>
      <c r="F274" t="n">
        <v>1001</v>
      </c>
      <c r="G274" t="n">
        <v>36.55</v>
      </c>
      <c r="H274" t="n">
        <v>0.3654607698950318</v>
      </c>
      <c r="I274" t="inlineStr">
        <is>
          <t>elo_full</t>
        </is>
      </c>
      <c r="J274">
        <f>MAX(H274,1-H274)</f>
        <v/>
      </c>
      <c r="K274">
        <f>_xlfn.IFS(
J274&lt;=0.55,"50~55",
J274&lt;=0.6,"55~60",
J274&lt;=0.65,"60~65",
J274&lt;=0.7,"65~70",
TRUE,"70~100"
)</f>
        <v/>
      </c>
      <c r="L274">
        <f>IF(H274&gt;=0.5,"HOME","AWAY")</f>
        <v/>
      </c>
      <c r="M274">
        <f>IF(AND(N274&lt;&gt;"", OR(N274=0, N274=1)), (J274-N274)^2, "")</f>
        <v/>
      </c>
      <c r="N274" t="n">
        <v>1</v>
      </c>
      <c r="O274">
        <f>IF(AND(N274&lt;&gt;"", OR(N274=0, N274=1)), IF(ROUND(H274,0)=N274, 1, 0), "")</f>
        <v/>
      </c>
    </row>
    <row r="275">
      <c r="A275" t="n">
        <v>20260319</v>
      </c>
      <c r="B275" t="inlineStr">
        <is>
          <t>2026-06-10</t>
        </is>
      </c>
      <c r="C275" t="inlineStr">
        <is>
          <t>한화</t>
        </is>
      </c>
      <c r="D275" t="inlineStr">
        <is>
          <t>KIA</t>
        </is>
      </c>
      <c r="E275" t="n">
        <v>7002</v>
      </c>
      <c r="F275" t="n">
        <v>2002</v>
      </c>
      <c r="G275" t="n">
        <v>44.2</v>
      </c>
      <c r="H275" t="n">
        <v>0.4419912471820913</v>
      </c>
      <c r="I275" t="inlineStr">
        <is>
          <t>elo_full</t>
        </is>
      </c>
      <c r="J275">
        <f>MAX(H275,1-H275)</f>
        <v/>
      </c>
      <c r="K275">
        <f>_xlfn.IFS(
J275&lt;=0.55,"50~55",
J275&lt;=0.6,"55~60",
J275&lt;=0.65,"60~65",
J275&lt;=0.7,"65~70",
TRUE,"70~100"
)</f>
        <v/>
      </c>
      <c r="L275">
        <f>IF(H275&gt;=0.5,"HOME","AWAY")</f>
        <v/>
      </c>
      <c r="M275">
        <f>IF(AND(N275&lt;&gt;"", OR(N275=0, N275=1)), (J275-N275)^2, "")</f>
        <v/>
      </c>
      <c r="N275" t="n">
        <v>1</v>
      </c>
      <c r="O275">
        <f>IF(AND(N275&lt;&gt;"", OR(N275=0, N275=1)), IF(ROUND(H275,0)=N275, 1, 0), "")</f>
        <v/>
      </c>
    </row>
    <row r="276">
      <c r="A276" t="n">
        <v>20260320</v>
      </c>
      <c r="B276" t="inlineStr">
        <is>
          <t>2026-06-10</t>
        </is>
      </c>
      <c r="C276" t="inlineStr">
        <is>
          <t>롯데</t>
        </is>
      </c>
      <c r="D276" t="inlineStr">
        <is>
          <t>두산</t>
        </is>
      </c>
      <c r="E276" t="n">
        <v>3001</v>
      </c>
      <c r="F276" t="n">
        <v>6002</v>
      </c>
      <c r="G276" t="n">
        <v>44.61</v>
      </c>
      <c r="H276" t="n">
        <v>0.4461164760752404</v>
      </c>
      <c r="I276" t="inlineStr">
        <is>
          <t>elo_full</t>
        </is>
      </c>
      <c r="J276">
        <f>MAX(H276,1-H276)</f>
        <v/>
      </c>
      <c r="K276">
        <f>_xlfn.IFS(
J276&lt;=0.55,"50~55",
J276&lt;=0.6,"55~60",
J276&lt;=0.65,"60~65",
J276&lt;=0.7,"65~70",
TRUE,"70~100"
)</f>
        <v/>
      </c>
      <c r="L276">
        <f>IF(H276&gt;=0.5,"HOME","AWAY")</f>
        <v/>
      </c>
      <c r="M276">
        <f>IF(AND(N276&lt;&gt;"", OR(N276=0, N276=1)), (J276-N276)^2, "")</f>
        <v/>
      </c>
      <c r="N276" t="n">
        <v>1</v>
      </c>
      <c r="O276">
        <f>IF(AND(N276&lt;&gt;"", OR(N276=0, N276=1)), IF(ROUND(H276,0)=N276, 1, 0), "")</f>
        <v/>
      </c>
    </row>
    <row r="277">
      <c r="A277" t="n">
        <v>20260321</v>
      </c>
      <c r="B277" t="inlineStr">
        <is>
          <t>2026-06-11</t>
        </is>
      </c>
      <c r="C277" t="inlineStr">
        <is>
          <t>LG</t>
        </is>
      </c>
      <c r="D277" t="inlineStr">
        <is>
          <t>SSG</t>
        </is>
      </c>
      <c r="E277" t="n">
        <v>5002</v>
      </c>
      <c r="F277" t="n">
        <v>9002</v>
      </c>
      <c r="G277" t="n">
        <v>43.74</v>
      </c>
      <c r="H277" t="n">
        <v>0.4373793780662417</v>
      </c>
      <c r="I277" t="inlineStr">
        <is>
          <t>elo_full</t>
        </is>
      </c>
      <c r="J277">
        <f>MAX(H277,1-H277)</f>
        <v/>
      </c>
      <c r="K277">
        <f>_xlfn.IFS(
J277&lt;=0.55,"50~55",
J277&lt;=0.6,"55~60",
J277&lt;=0.65,"60~65",
J277&lt;=0.7,"65~70",
TRUE,"70~100"
)</f>
        <v/>
      </c>
      <c r="L277">
        <f>IF(H277&gt;=0.5,"HOME","AWAY")</f>
        <v/>
      </c>
      <c r="M277">
        <f>IF(AND(N277&lt;&gt;"", OR(N277=0, N277=1)), (J277-N277)^2, "")</f>
        <v/>
      </c>
      <c r="N277" t="n">
        <v>1</v>
      </c>
      <c r="O277">
        <f>IF(AND(N277&lt;&gt;"", OR(N277=0, N277=1)), IF(ROUND(H277,0)=N277, 1, 0), "")</f>
        <v/>
      </c>
    </row>
    <row r="278">
      <c r="A278" t="n">
        <v>20260322</v>
      </c>
      <c r="B278" t="inlineStr">
        <is>
          <t>2026-06-11</t>
        </is>
      </c>
      <c r="C278" t="inlineStr">
        <is>
          <t>키움</t>
        </is>
      </c>
      <c r="D278" t="inlineStr">
        <is>
          <t>NC</t>
        </is>
      </c>
      <c r="E278" t="n">
        <v>10001</v>
      </c>
      <c r="F278" t="n">
        <v>11001</v>
      </c>
      <c r="G278" t="n">
        <v>30.15</v>
      </c>
      <c r="H278" t="n">
        <v>0.3015104663747317</v>
      </c>
      <c r="I278" t="inlineStr">
        <is>
          <t>elo_full</t>
        </is>
      </c>
      <c r="J278">
        <f>MAX(H278,1-H278)</f>
        <v/>
      </c>
      <c r="K278">
        <f>_xlfn.IFS(
J278&lt;=0.55,"50~55",
J278&lt;=0.6,"55~60",
J278&lt;=0.65,"60~65",
J278&lt;=0.7,"65~70",
TRUE,"70~100"
)</f>
        <v/>
      </c>
      <c r="L278">
        <f>IF(H278&gt;=0.5,"HOME","AWAY")</f>
        <v/>
      </c>
      <c r="M278">
        <f>IF(AND(N278&lt;&gt;"", OR(N278=0, N278=1)), (J278-N278)^2, "")</f>
        <v/>
      </c>
      <c r="N278" t="n">
        <v>0</v>
      </c>
      <c r="O278">
        <f>IF(AND(N278&lt;&gt;"", OR(N278=0, N278=1)), IF(ROUND(H278,0)=N278, 1, 0), "")</f>
        <v/>
      </c>
    </row>
    <row r="279">
      <c r="A279" t="n">
        <v>20260323</v>
      </c>
      <c r="B279" t="inlineStr">
        <is>
          <t>2026-06-11</t>
        </is>
      </c>
      <c r="C279" t="inlineStr">
        <is>
          <t>KT</t>
        </is>
      </c>
      <c r="D279" t="inlineStr">
        <is>
          <t>삼성</t>
        </is>
      </c>
      <c r="E279" t="n">
        <v>12001</v>
      </c>
      <c r="F279" t="n">
        <v>1001</v>
      </c>
      <c r="G279" t="n">
        <v>37.05</v>
      </c>
      <c r="H279" t="n">
        <v>0.3704665114702295</v>
      </c>
      <c r="I279" t="inlineStr">
        <is>
          <t>elo_full</t>
        </is>
      </c>
      <c r="J279">
        <f>MAX(H279,1-H279)</f>
        <v/>
      </c>
      <c r="K279">
        <f>_xlfn.IFS(
J279&lt;=0.55,"50~55",
J279&lt;=0.6,"55~60",
J279&lt;=0.65,"60~65",
J279&lt;=0.7,"65~70",
TRUE,"70~100"
)</f>
        <v/>
      </c>
      <c r="L279">
        <f>IF(H279&gt;=0.5,"HOME","AWAY")</f>
        <v/>
      </c>
      <c r="M279">
        <f>IF(AND(N279&lt;&gt;"", OR(N279=0, N279=1)), (J279-N279)^2, "")</f>
        <v/>
      </c>
      <c r="N279" t="n">
        <v>0</v>
      </c>
      <c r="O279">
        <f>IF(AND(N279&lt;&gt;"", OR(N279=0, N279=1)), IF(ROUND(H279,0)=N279, 1, 0), "")</f>
        <v/>
      </c>
    </row>
    <row r="280">
      <c r="A280" t="n">
        <v>20260324</v>
      </c>
      <c r="B280" t="inlineStr">
        <is>
          <t>2026-06-11</t>
        </is>
      </c>
      <c r="C280" t="inlineStr">
        <is>
          <t>한화</t>
        </is>
      </c>
      <c r="D280" t="inlineStr">
        <is>
          <t>KIA</t>
        </is>
      </c>
      <c r="E280" t="n">
        <v>7002</v>
      </c>
      <c r="F280" t="n">
        <v>2002</v>
      </c>
      <c r="G280" t="n">
        <v>42.32</v>
      </c>
      <c r="H280" t="n">
        <v>0.4232399360217023</v>
      </c>
      <c r="I280" t="inlineStr">
        <is>
          <t>elo_full</t>
        </is>
      </c>
      <c r="J280">
        <f>MAX(H280,1-H280)</f>
        <v/>
      </c>
      <c r="K280">
        <f>_xlfn.IFS(
J280&lt;=0.55,"50~55",
J280&lt;=0.6,"55~60",
J280&lt;=0.65,"60~65",
J280&lt;=0.7,"65~70",
TRUE,"70~100"
)</f>
        <v/>
      </c>
      <c r="L280">
        <f>IF(H280&gt;=0.5,"HOME","AWAY")</f>
        <v/>
      </c>
      <c r="M280">
        <f>IF(AND(N280&lt;&gt;"", OR(N280=0, N280=1)), (J280-N280)^2, "")</f>
        <v/>
      </c>
      <c r="N280" t="n">
        <v>1</v>
      </c>
      <c r="O280">
        <f>IF(AND(N280&lt;&gt;"", OR(N280=0, N280=1)), IF(ROUND(H280,0)=N280, 1, 0), "")</f>
        <v/>
      </c>
    </row>
    <row r="281">
      <c r="A281" t="n">
        <v>20260325</v>
      </c>
      <c r="B281" t="inlineStr">
        <is>
          <t>2026-06-11</t>
        </is>
      </c>
      <c r="C281" t="inlineStr">
        <is>
          <t>롯데</t>
        </is>
      </c>
      <c r="D281" t="inlineStr">
        <is>
          <t>두산</t>
        </is>
      </c>
      <c r="E281" t="n">
        <v>3001</v>
      </c>
      <c r="F281" t="n">
        <v>6002</v>
      </c>
      <c r="G281" t="n">
        <v>52.52</v>
      </c>
      <c r="H281" t="n">
        <v>0.5252013601977775</v>
      </c>
      <c r="I281" t="inlineStr">
        <is>
          <t>elo_full</t>
        </is>
      </c>
      <c r="J281">
        <f>MAX(H281,1-H281)</f>
        <v/>
      </c>
      <c r="K281">
        <f>_xlfn.IFS(
J281&lt;=0.55,"50~55",
J281&lt;=0.6,"55~60",
J281&lt;=0.65,"60~65",
J281&lt;=0.7,"65~70",
TRUE,"70~100"
)</f>
        <v/>
      </c>
      <c r="L281">
        <f>IF(H281&gt;=0.5,"HOME","AWAY")</f>
        <v/>
      </c>
      <c r="M281">
        <f>IF(AND(N281&lt;&gt;"", OR(N281=0, N281=1)), (J281-N281)^2, "")</f>
        <v/>
      </c>
      <c r="N281" t="n">
        <v>0</v>
      </c>
      <c r="O281">
        <f>IF(AND(N281&lt;&gt;"", OR(N281=0, N281=1)), IF(ROUND(H281,0)=N281, 1, 0), "")</f>
        <v/>
      </c>
    </row>
    <row r="282">
      <c r="A282" t="n">
        <v>20260326</v>
      </c>
      <c r="B282" t="inlineStr">
        <is>
          <t>2026-06-12</t>
        </is>
      </c>
      <c r="C282" t="inlineStr">
        <is>
          <t>LG</t>
        </is>
      </c>
      <c r="D282" t="inlineStr">
        <is>
          <t>롯데</t>
        </is>
      </c>
      <c r="E282" t="n">
        <v>5002</v>
      </c>
      <c r="F282" t="n">
        <v>3001</v>
      </c>
      <c r="G282" t="n">
        <v>59.76</v>
      </c>
      <c r="H282" t="n">
        <v>0.5976160385480185</v>
      </c>
      <c r="I282" t="inlineStr">
        <is>
          <t>elo_full</t>
        </is>
      </c>
      <c r="J282">
        <f>MAX(H282,1-H282)</f>
        <v/>
      </c>
      <c r="K282">
        <f>_xlfn.IFS(
J282&lt;=0.55,"50~55",
J282&lt;=0.6,"55~60",
J282&lt;=0.65,"60~65",
J282&lt;=0.7,"65~70",
TRUE,"70~100"
)</f>
        <v/>
      </c>
      <c r="L282">
        <f>IF(H282&gt;=0.5,"HOME","AWAY")</f>
        <v/>
      </c>
      <c r="M282">
        <f>IF(AND(N282&lt;&gt;"", OR(N282=0, N282=1)), (J282-N282)^2, "")</f>
        <v/>
      </c>
      <c r="N282" t="n">
        <v>0</v>
      </c>
      <c r="O282">
        <f>IF(AND(N282&lt;&gt;"", OR(N282=0, N282=1)), IF(ROUND(H282,0)=N282, 1, 0), "")</f>
        <v/>
      </c>
    </row>
    <row r="283">
      <c r="A283" t="n">
        <v>20260327</v>
      </c>
      <c r="B283" t="inlineStr">
        <is>
          <t>2026-06-12</t>
        </is>
      </c>
      <c r="C283" t="inlineStr">
        <is>
          <t>키움</t>
        </is>
      </c>
      <c r="D283" t="inlineStr">
        <is>
          <t>한화</t>
        </is>
      </c>
      <c r="E283" t="n">
        <v>10001</v>
      </c>
      <c r="F283" t="n">
        <v>7002</v>
      </c>
      <c r="G283" t="n">
        <v>38.6</v>
      </c>
      <c r="H283" t="n">
        <v>0.3859757252304541</v>
      </c>
      <c r="I283" t="inlineStr">
        <is>
          <t>elo_full</t>
        </is>
      </c>
      <c r="J283">
        <f>MAX(H283,1-H283)</f>
        <v/>
      </c>
      <c r="K283">
        <f>_xlfn.IFS(
J283&lt;=0.55,"50~55",
J283&lt;=0.6,"55~60",
J283&lt;=0.65,"60~65",
J283&lt;=0.7,"65~70",
TRUE,"70~100"
)</f>
        <v/>
      </c>
      <c r="L283">
        <f>IF(H283&gt;=0.5,"HOME","AWAY")</f>
        <v/>
      </c>
      <c r="M283">
        <f>IF(AND(N283&lt;&gt;"", OR(N283=0, N283=1)), (J283-N283)^2, "")</f>
        <v/>
      </c>
      <c r="N283" t="n">
        <v>1</v>
      </c>
      <c r="O283">
        <f>IF(AND(N283&lt;&gt;"", OR(N283=0, N283=1)), IF(ROUND(H283,0)=N283, 1, 0), "")</f>
        <v/>
      </c>
    </row>
    <row r="284">
      <c r="A284" t="n">
        <v>20260328</v>
      </c>
      <c r="B284" t="inlineStr">
        <is>
          <t>2026-06-12</t>
        </is>
      </c>
      <c r="C284" t="inlineStr">
        <is>
          <t>KT</t>
        </is>
      </c>
      <c r="D284" t="inlineStr">
        <is>
          <t>NC</t>
        </is>
      </c>
      <c r="E284" t="n">
        <v>12001</v>
      </c>
      <c r="F284" t="n">
        <v>11001</v>
      </c>
      <c r="G284" t="n">
        <v>54.79</v>
      </c>
      <c r="H284" t="n">
        <v>0.5478970200833237</v>
      </c>
      <c r="I284" t="inlineStr">
        <is>
          <t>elo_full</t>
        </is>
      </c>
      <c r="J284">
        <f>MAX(H284,1-H284)</f>
        <v/>
      </c>
      <c r="K284">
        <f>_xlfn.IFS(
J284&lt;=0.55,"50~55",
J284&lt;=0.6,"55~60",
J284&lt;=0.65,"60~65",
J284&lt;=0.7,"65~70",
TRUE,"70~100"
)</f>
        <v/>
      </c>
      <c r="L284">
        <f>IF(H284&gt;=0.5,"HOME","AWAY")</f>
        <v/>
      </c>
      <c r="M284">
        <f>IF(AND(N284&lt;&gt;"", OR(N284=0, N284=1)), (J284-N284)^2, "")</f>
        <v/>
      </c>
      <c r="N284" t="n">
        <v>1</v>
      </c>
      <c r="O284">
        <f>IF(AND(N284&lt;&gt;"", OR(N284=0, N284=1)), IF(ROUND(H284,0)=N284, 1, 0), "")</f>
        <v/>
      </c>
    </row>
    <row r="285">
      <c r="A285" t="n">
        <v>20260329</v>
      </c>
      <c r="B285" t="inlineStr">
        <is>
          <t>2026-06-12</t>
        </is>
      </c>
      <c r="C285" t="inlineStr">
        <is>
          <t>삼성</t>
        </is>
      </c>
      <c r="D285" t="inlineStr">
        <is>
          <t>SSG</t>
        </is>
      </c>
      <c r="E285" t="n">
        <v>1001</v>
      </c>
      <c r="F285" t="n">
        <v>9002</v>
      </c>
      <c r="G285" t="n">
        <v>60.17</v>
      </c>
      <c r="H285" t="n">
        <v>0.6017341671631073</v>
      </c>
      <c r="I285" t="inlineStr">
        <is>
          <t>elo_full</t>
        </is>
      </c>
      <c r="J285">
        <f>MAX(H285,1-H285)</f>
        <v/>
      </c>
      <c r="K285">
        <f>_xlfn.IFS(
J285&lt;=0.55,"50~55",
J285&lt;=0.6,"55~60",
J285&lt;=0.65,"60~65",
J285&lt;=0.7,"65~70",
TRUE,"70~100"
)</f>
        <v/>
      </c>
      <c r="L285">
        <f>IF(H285&gt;=0.5,"HOME","AWAY")</f>
        <v/>
      </c>
      <c r="M285">
        <f>IF(AND(N285&lt;&gt;"", OR(N285=0, N285=1)), (J285-N285)^2, "")</f>
        <v/>
      </c>
      <c r="N285" t="n">
        <v>0</v>
      </c>
      <c r="O285">
        <f>IF(AND(N285&lt;&gt;"", OR(N285=0, N285=1)), IF(ROUND(H285,0)=N285, 1, 0), "")</f>
        <v/>
      </c>
    </row>
    <row r="286">
      <c r="A286" t="n">
        <v>20260330</v>
      </c>
      <c r="B286" t="inlineStr">
        <is>
          <t>2026-06-12</t>
        </is>
      </c>
      <c r="C286" t="inlineStr">
        <is>
          <t>KIA</t>
        </is>
      </c>
      <c r="D286" t="inlineStr">
        <is>
          <t>두산</t>
        </is>
      </c>
      <c r="E286" t="n">
        <v>2002</v>
      </c>
      <c r="F286" t="n">
        <v>6002</v>
      </c>
      <c r="G286" t="n">
        <v>45.49</v>
      </c>
      <c r="H286" t="n">
        <v>0.4548738215363903</v>
      </c>
      <c r="I286" t="inlineStr">
        <is>
          <t>elo_full</t>
        </is>
      </c>
      <c r="J286">
        <f>MAX(H286,1-H286)</f>
        <v/>
      </c>
      <c r="K286">
        <f>_xlfn.IFS(
J286&lt;=0.55,"50~55",
J286&lt;=0.6,"55~60",
J286&lt;=0.65,"60~65",
J286&lt;=0.7,"65~70",
TRUE,"70~100"
)</f>
        <v/>
      </c>
      <c r="L286">
        <f>IF(H286&gt;=0.5,"HOME","AWAY")</f>
        <v/>
      </c>
      <c r="M286">
        <f>IF(AND(N286&lt;&gt;"", OR(N286=0, N286=1)), (J286-N286)^2, "")</f>
        <v/>
      </c>
      <c r="N286" t="n">
        <v>0</v>
      </c>
      <c r="O286">
        <f>IF(AND(N286&lt;&gt;"", OR(N286=0, N286=1)), IF(ROUND(H286,0)=N286, 1, 0), "")</f>
        <v/>
      </c>
    </row>
    <row r="287">
      <c r="A287" t="n">
        <v>20260331</v>
      </c>
      <c r="B287" t="inlineStr">
        <is>
          <t>2026-06-13</t>
        </is>
      </c>
      <c r="C287" t="inlineStr">
        <is>
          <t>LG</t>
        </is>
      </c>
      <c r="D287" t="inlineStr">
        <is>
          <t>롯데</t>
        </is>
      </c>
      <c r="E287" t="n">
        <v>5002</v>
      </c>
      <c r="F287" t="n">
        <v>3001</v>
      </c>
      <c r="G287" t="n">
        <v>62.9</v>
      </c>
      <c r="H287" t="n">
        <v>0.6289715546963214</v>
      </c>
      <c r="I287" t="inlineStr">
        <is>
          <t>elo_sp</t>
        </is>
      </c>
      <c r="J287">
        <f>MAX(H287,1-H287)</f>
        <v/>
      </c>
      <c r="K287">
        <f>_xlfn.IFS(
J287&lt;=0.55,"50~55",
J287&lt;=0.6,"55~60",
J287&lt;=0.65,"60~65",
J287&lt;=0.7,"65~70",
TRUE,"70~100"
)</f>
        <v/>
      </c>
      <c r="L287">
        <f>IF(H287&gt;=0.5,"HOME","AWAY")</f>
        <v/>
      </c>
      <c r="M287">
        <f>IF(AND(N287&lt;&gt;"", OR(N287=0, N287=1)), (J287-N287)^2, "")</f>
        <v/>
      </c>
      <c r="N287" t="n">
        <v>1</v>
      </c>
      <c r="O287">
        <f>IF(AND(N287&lt;&gt;"", OR(N287=0, N287=1)), IF(ROUND(H287,0)=N287, 1, 0), "")</f>
        <v/>
      </c>
    </row>
    <row r="288">
      <c r="A288" t="n">
        <v>20260332</v>
      </c>
      <c r="B288" t="inlineStr">
        <is>
          <t>2026-06-13</t>
        </is>
      </c>
      <c r="C288" t="inlineStr">
        <is>
          <t>키움</t>
        </is>
      </c>
      <c r="D288" t="inlineStr">
        <is>
          <t>한화</t>
        </is>
      </c>
      <c r="E288" t="n">
        <v>10001</v>
      </c>
      <c r="F288" t="n">
        <v>7002</v>
      </c>
      <c r="G288" t="n">
        <v>71.09</v>
      </c>
      <c r="H288" t="n">
        <v>0.7109084308113766</v>
      </c>
      <c r="I288" t="inlineStr">
        <is>
          <t>elo_sp</t>
        </is>
      </c>
      <c r="J288">
        <f>MAX(H288,1-H288)</f>
        <v/>
      </c>
      <c r="K288">
        <f>_xlfn.IFS(
J288&lt;=0.55,"50~55",
J288&lt;=0.6,"55~60",
J288&lt;=0.65,"60~65",
J288&lt;=0.7,"65~70",
TRUE,"70~100"
)</f>
        <v/>
      </c>
      <c r="L288">
        <f>IF(H288&gt;=0.5,"HOME","AWAY")</f>
        <v/>
      </c>
      <c r="M288">
        <f>IF(AND(N288&lt;&gt;"", OR(N288=0, N288=1)), (J288-N288)^2, "")</f>
        <v/>
      </c>
      <c r="N288" t="n">
        <v>1</v>
      </c>
      <c r="O288">
        <f>IF(AND(N288&lt;&gt;"", OR(N288=0, N288=1)), IF(ROUND(H288,0)=N288, 1, 0), "")</f>
        <v/>
      </c>
    </row>
    <row r="289">
      <c r="A289" t="n">
        <v>20260333</v>
      </c>
      <c r="B289" t="inlineStr">
        <is>
          <t>2026-06-13</t>
        </is>
      </c>
      <c r="C289" t="inlineStr">
        <is>
          <t>KT</t>
        </is>
      </c>
      <c r="D289" t="inlineStr">
        <is>
          <t>NC</t>
        </is>
      </c>
      <c r="E289" t="n">
        <v>12001</v>
      </c>
      <c r="F289" t="n">
        <v>11001</v>
      </c>
      <c r="G289" t="n">
        <v>56.23</v>
      </c>
      <c r="H289" t="n">
        <v>0.5622617961892017</v>
      </c>
      <c r="I289" t="inlineStr">
        <is>
          <t>elo_sp</t>
        </is>
      </c>
      <c r="J289">
        <f>MAX(H289,1-H289)</f>
        <v/>
      </c>
      <c r="K289">
        <f>_xlfn.IFS(
J289&lt;=0.55,"50~55",
J289&lt;=0.6,"55~60",
J289&lt;=0.65,"60~65",
J289&lt;=0.7,"65~70",
TRUE,"70~100"
)</f>
        <v/>
      </c>
      <c r="L289">
        <f>IF(H289&gt;=0.5,"HOME","AWAY")</f>
        <v/>
      </c>
      <c r="M289">
        <f>IF(AND(N289&lt;&gt;"", OR(N289=0, N289=1)), (J289-N289)^2, "")</f>
        <v/>
      </c>
      <c r="N289" t="n">
        <v>1</v>
      </c>
      <c r="O289">
        <f>IF(AND(N289&lt;&gt;"", OR(N289=0, N289=1)), IF(ROUND(H289,0)=N289, 1, 0), "")</f>
        <v/>
      </c>
    </row>
    <row r="290">
      <c r="A290" t="n">
        <v>20260334</v>
      </c>
      <c r="B290" t="inlineStr">
        <is>
          <t>2026-06-13</t>
        </is>
      </c>
      <c r="C290" t="inlineStr">
        <is>
          <t>삼성</t>
        </is>
      </c>
      <c r="D290" t="inlineStr">
        <is>
          <t>SSG</t>
        </is>
      </c>
      <c r="E290" t="n">
        <v>1001</v>
      </c>
      <c r="F290" t="n">
        <v>9002</v>
      </c>
      <c r="G290" t="n">
        <v>66.43000000000001</v>
      </c>
      <c r="H290" t="n">
        <v>0.6643391066882098</v>
      </c>
      <c r="I290" t="inlineStr">
        <is>
          <t>elo_sp</t>
        </is>
      </c>
      <c r="J290">
        <f>MAX(H290,1-H290)</f>
        <v/>
      </c>
      <c r="K290">
        <f>_xlfn.IFS(
J290&lt;=0.55,"50~55",
J290&lt;=0.6,"55~60",
J290&lt;=0.65,"60~65",
J290&lt;=0.7,"65~70",
TRUE,"70~100"
)</f>
        <v/>
      </c>
      <c r="L290">
        <f>IF(H290&gt;=0.5,"HOME","AWAY")</f>
        <v/>
      </c>
      <c r="M290">
        <f>IF(AND(N290&lt;&gt;"", OR(N290=0, N290=1)), (J290-N290)^2, "")</f>
        <v/>
      </c>
      <c r="N290" t="n">
        <v>1</v>
      </c>
      <c r="O290">
        <f>IF(AND(N290&lt;&gt;"", OR(N290=0, N290=1)), IF(ROUND(H290,0)=N290, 1, 0), "")</f>
        <v/>
      </c>
    </row>
    <row r="291">
      <c r="A291" t="n">
        <v>20260335</v>
      </c>
      <c r="B291" t="inlineStr">
        <is>
          <t>2026-06-13</t>
        </is>
      </c>
      <c r="C291" t="inlineStr">
        <is>
          <t>KIA</t>
        </is>
      </c>
      <c r="D291" t="inlineStr">
        <is>
          <t>두산</t>
        </is>
      </c>
      <c r="E291" t="n">
        <v>2002</v>
      </c>
      <c r="F291" t="n">
        <v>6002</v>
      </c>
      <c r="G291" t="n">
        <v>40.49</v>
      </c>
      <c r="H291" t="n">
        <v>0.4048557683328585</v>
      </c>
      <c r="I291" t="inlineStr">
        <is>
          <t>elo_sp</t>
        </is>
      </c>
      <c r="J291">
        <f>MAX(H291,1-H291)</f>
        <v/>
      </c>
      <c r="K291">
        <f>_xlfn.IFS(
J291&lt;=0.55,"50~55",
J291&lt;=0.6,"55~60",
J291&lt;=0.65,"60~65",
J291&lt;=0.7,"65~70",
TRUE,"70~100"
)</f>
        <v/>
      </c>
      <c r="L291">
        <f>IF(H291&gt;=0.5,"HOME","AWAY")</f>
        <v/>
      </c>
      <c r="M291">
        <f>IF(AND(N291&lt;&gt;"", OR(N291=0, N291=1)), (J291-N291)^2, "")</f>
        <v/>
      </c>
      <c r="N291" t="n">
        <v>1</v>
      </c>
      <c r="O291">
        <f>IF(AND(N291&lt;&gt;"", OR(N291=0, N291=1)), IF(ROUND(H291,0)=N291, 1, 0), "")</f>
        <v/>
      </c>
    </row>
    <row r="292">
      <c r="A292" t="n">
        <v>20260337</v>
      </c>
      <c r="B292" t="inlineStr">
        <is>
          <t>2026-06-14</t>
        </is>
      </c>
      <c r="C292" t="inlineStr">
        <is>
          <t>키움</t>
        </is>
      </c>
      <c r="D292" t="inlineStr">
        <is>
          <t>한화</t>
        </is>
      </c>
      <c r="E292" t="n">
        <v>10001</v>
      </c>
      <c r="F292" t="n">
        <v>7002</v>
      </c>
      <c r="G292" t="n">
        <v>52.89</v>
      </c>
      <c r="H292" t="n">
        <v>0.5288707923087059</v>
      </c>
      <c r="I292" t="inlineStr">
        <is>
          <t>elo_sp</t>
        </is>
      </c>
      <c r="J292">
        <f>MAX(H292,1-H292)</f>
        <v/>
      </c>
      <c r="K292">
        <f>_xlfn.IFS(
J292&lt;=0.55,"50~55",
J292&lt;=0.6,"55~60",
J292&lt;=0.65,"60~65",
J292&lt;=0.7,"65~70",
TRUE,"70~100"
)</f>
        <v/>
      </c>
      <c r="L292">
        <f>IF(H292&gt;=0.5,"HOME","AWAY")</f>
        <v/>
      </c>
      <c r="M292">
        <f>IF(AND(N292&lt;&gt;"", OR(N292=0, N292=1)), (J292-N292)^2, "")</f>
        <v/>
      </c>
      <c r="N292" t="n">
        <v>1</v>
      </c>
      <c r="O292">
        <f>IF(AND(N292&lt;&gt;"", OR(N292=0, N292=1)), IF(ROUND(H292,0)=N292, 1, 0), "")</f>
        <v/>
      </c>
    </row>
    <row r="293">
      <c r="A293" t="n">
        <v>20260336</v>
      </c>
      <c r="B293" t="inlineStr">
        <is>
          <t>2026-06-14</t>
        </is>
      </c>
      <c r="C293" t="inlineStr">
        <is>
          <t>LG</t>
        </is>
      </c>
      <c r="D293" t="inlineStr">
        <is>
          <t>롯데</t>
        </is>
      </c>
      <c r="E293" t="n">
        <v>5002</v>
      </c>
      <c r="F293" t="n">
        <v>3001</v>
      </c>
      <c r="G293" t="n">
        <v>45.78</v>
      </c>
      <c r="H293" t="n">
        <v>0.4578114938561731</v>
      </c>
      <c r="I293" t="inlineStr">
        <is>
          <t>elo_sp</t>
        </is>
      </c>
      <c r="J293">
        <f>MAX(H293,1-H293)</f>
        <v/>
      </c>
      <c r="K293">
        <f>_xlfn.IFS(
J293&lt;=0.55,"50~55",
J293&lt;=0.6,"55~60",
J293&lt;=0.65,"60~65",
J293&lt;=0.7,"65~70",
TRUE,"70~100"
)</f>
        <v/>
      </c>
      <c r="L293">
        <f>IF(H293&gt;=0.5,"HOME","AWAY")</f>
        <v/>
      </c>
      <c r="M293">
        <f>IF(AND(N293&lt;&gt;"", OR(N293=0, N293=1)), (J293-N293)^2, "")</f>
        <v/>
      </c>
      <c r="N293" t="n">
        <v>1</v>
      </c>
      <c r="O293">
        <f>IF(AND(N293&lt;&gt;"", OR(N293=0, N293=1)), IF(ROUND(H293,0)=N293, 1, 0), "")</f>
        <v/>
      </c>
    </row>
    <row r="294">
      <c r="A294" t="n">
        <v>20260338</v>
      </c>
      <c r="B294" t="inlineStr">
        <is>
          <t>2026-06-14</t>
        </is>
      </c>
      <c r="C294" t="inlineStr">
        <is>
          <t>KT</t>
        </is>
      </c>
      <c r="D294" t="inlineStr">
        <is>
          <t>NC</t>
        </is>
      </c>
      <c r="E294" t="n">
        <v>12001</v>
      </c>
      <c r="F294" t="n">
        <v>11001</v>
      </c>
      <c r="G294" t="n">
        <v>40.9</v>
      </c>
      <c r="H294" t="n">
        <v>0.4090175298100893</v>
      </c>
      <c r="I294" t="inlineStr">
        <is>
          <t>elo_sp</t>
        </is>
      </c>
      <c r="J294">
        <f>MAX(H294,1-H294)</f>
        <v/>
      </c>
      <c r="K294">
        <f>_xlfn.IFS(
J294&lt;=0.55,"50~55",
J294&lt;=0.6,"55~60",
J294&lt;=0.65,"60~65",
J294&lt;=0.7,"65~70",
TRUE,"70~100"
)</f>
        <v/>
      </c>
      <c r="L294">
        <f>IF(H294&gt;=0.5,"HOME","AWAY")</f>
        <v/>
      </c>
      <c r="M294">
        <f>IF(AND(N294&lt;&gt;"", OR(N294=0, N294=1)), (J294-N294)^2, "")</f>
        <v/>
      </c>
      <c r="N294" t="inlineStr">
        <is>
          <t>cancel</t>
        </is>
      </c>
      <c r="O294">
        <f>IF(AND(N294&lt;&gt;"", OR(N294=0, N294=1)), IF(ROUND(H294,0)=N294, 1, 0), "")</f>
        <v/>
      </c>
    </row>
    <row r="295">
      <c r="A295" t="n">
        <v>20260339</v>
      </c>
      <c r="B295" t="inlineStr">
        <is>
          <t>2026-06-14</t>
        </is>
      </c>
      <c r="C295" t="inlineStr">
        <is>
          <t>삼성</t>
        </is>
      </c>
      <c r="D295" t="inlineStr">
        <is>
          <t>SSG</t>
        </is>
      </c>
      <c r="E295" t="n">
        <v>1001</v>
      </c>
      <c r="F295" t="n">
        <v>9002</v>
      </c>
      <c r="G295" t="n">
        <v>65.05</v>
      </c>
      <c r="H295" t="n">
        <v>0.6505163518250234</v>
      </c>
      <c r="I295" t="inlineStr">
        <is>
          <t>elo_sp</t>
        </is>
      </c>
      <c r="J295">
        <f>MAX(H295,1-H295)</f>
        <v/>
      </c>
      <c r="K295">
        <f>_xlfn.IFS(
J295&lt;=0.55,"50~55",
J295&lt;=0.6,"55~60",
J295&lt;=0.65,"60~65",
J295&lt;=0.7,"65~70",
TRUE,"70~100"
)</f>
        <v/>
      </c>
      <c r="L295">
        <f>IF(H295&gt;=0.5,"HOME","AWAY")</f>
        <v/>
      </c>
      <c r="M295">
        <f>IF(AND(N295&lt;&gt;"", OR(N295=0, N295=1)), (J295-N295)^2, "")</f>
        <v/>
      </c>
      <c r="N295" t="n">
        <v>1</v>
      </c>
      <c r="O295">
        <f>IF(AND(N295&lt;&gt;"", OR(N295=0, N295=1)), IF(ROUND(H295,0)=N295, 1, 0), "")</f>
        <v/>
      </c>
    </row>
    <row r="296">
      <c r="A296" t="n">
        <v>20260340</v>
      </c>
      <c r="B296" t="inlineStr">
        <is>
          <t>2026-06-14</t>
        </is>
      </c>
      <c r="C296" t="inlineStr">
        <is>
          <t>KIA</t>
        </is>
      </c>
      <c r="D296" t="inlineStr">
        <is>
          <t>두산</t>
        </is>
      </c>
      <c r="E296" t="n">
        <v>2002</v>
      </c>
      <c r="F296" t="n">
        <v>6002</v>
      </c>
      <c r="G296" t="n">
        <v>26.38</v>
      </c>
      <c r="H296" t="n">
        <v>0.2638334025781665</v>
      </c>
      <c r="I296" t="inlineStr">
        <is>
          <t>elo_sp</t>
        </is>
      </c>
      <c r="J296">
        <f>MAX(H296,1-H296)</f>
        <v/>
      </c>
      <c r="K296">
        <f>_xlfn.IFS(
J296&lt;=0.55,"50~55",
J296&lt;=0.6,"55~60",
J296&lt;=0.65,"60~65",
J296&lt;=0.7,"65~70",
TRUE,"70~100"
)</f>
        <v/>
      </c>
      <c r="L296">
        <f>IF(H296&gt;=0.5,"HOME","AWAY")</f>
        <v/>
      </c>
      <c r="M296">
        <f>IF(AND(N296&lt;&gt;"", OR(N296=0, N296=1)), (J296-N296)^2, "")</f>
        <v/>
      </c>
      <c r="N296" t="n">
        <v>0</v>
      </c>
      <c r="O296">
        <f>IF(AND(N296&lt;&gt;"", OR(N296=0, N296=1)), IF(ROUND(H296,0)=N296, 1, 0), "")</f>
        <v/>
      </c>
    </row>
    <row r="297">
      <c r="A297" t="n">
        <v>20260341</v>
      </c>
      <c r="B297" t="inlineStr">
        <is>
          <t>2026-06-16</t>
        </is>
      </c>
      <c r="C297" t="inlineStr">
        <is>
          <t>두산</t>
        </is>
      </c>
      <c r="D297" t="inlineStr">
        <is>
          <t>KT</t>
        </is>
      </c>
      <c r="E297" t="n">
        <v>6002</v>
      </c>
      <c r="F297" t="n">
        <v>12001</v>
      </c>
      <c r="G297" t="n">
        <v>43.58</v>
      </c>
      <c r="H297" t="n">
        <v>0.4358167606411497</v>
      </c>
      <c r="I297" t="inlineStr">
        <is>
          <t>elo_sp</t>
        </is>
      </c>
      <c r="J297">
        <f>MAX(H297,1-H297)</f>
        <v/>
      </c>
      <c r="K297">
        <f>_xlfn.IFS(
J297&lt;=0.55,"50~55",
J297&lt;=0.6,"55~60",
J297&lt;=0.65,"60~65",
J297&lt;=0.7,"65~70",
TRUE,"70~100"
)</f>
        <v/>
      </c>
      <c r="L297">
        <f>IF(H297&gt;=0.5,"HOME","AWAY")</f>
        <v/>
      </c>
      <c r="M297">
        <f>IF(AND(N297&lt;&gt;"", OR(N297=0, N297=1)), (J297-N297)^2, "")</f>
        <v/>
      </c>
      <c r="N297" t="n">
        <v>0</v>
      </c>
      <c r="O297">
        <f>IF(AND(N297&lt;&gt;"", OR(N297=0, N297=1)), IF(ROUND(H297,0)=N297, 1, 0), "")</f>
        <v/>
      </c>
    </row>
    <row r="298">
      <c r="A298" t="n">
        <v>20260342</v>
      </c>
      <c r="B298" t="inlineStr">
        <is>
          <t>2026-06-16</t>
        </is>
      </c>
      <c r="C298" t="inlineStr">
        <is>
          <t>SSG</t>
        </is>
      </c>
      <c r="D298" t="inlineStr">
        <is>
          <t>롯데</t>
        </is>
      </c>
      <c r="E298" t="n">
        <v>9002</v>
      </c>
      <c r="F298" t="n">
        <v>3001</v>
      </c>
      <c r="G298" t="n">
        <v>25.81</v>
      </c>
      <c r="H298" t="n">
        <v>0.2580645457271599</v>
      </c>
      <c r="I298" t="inlineStr">
        <is>
          <t>elo_sp</t>
        </is>
      </c>
      <c r="J298">
        <f>MAX(H298,1-H298)</f>
        <v/>
      </c>
      <c r="K298">
        <f>_xlfn.IFS(
J298&lt;=0.55,"50~55",
J298&lt;=0.6,"55~60",
J298&lt;=0.65,"60~65",
J298&lt;=0.7,"65~70",
TRUE,"70~100"
)</f>
        <v/>
      </c>
      <c r="L298">
        <f>IF(H298&gt;=0.5,"HOME","AWAY")</f>
        <v/>
      </c>
      <c r="M298">
        <f>IF(AND(N298&lt;&gt;"", OR(N298=0, N298=1)), (J298-N298)^2, "")</f>
        <v/>
      </c>
      <c r="N298" t="n">
        <v>0</v>
      </c>
      <c r="O298">
        <f>IF(AND(N298&lt;&gt;"", OR(N298=0, N298=1)), IF(ROUND(H298,0)=N298, 1, 0), "")</f>
        <v/>
      </c>
    </row>
    <row r="299">
      <c r="A299" t="n">
        <v>20260343</v>
      </c>
      <c r="B299" t="inlineStr">
        <is>
          <t>2026-06-16</t>
        </is>
      </c>
      <c r="C299" t="inlineStr">
        <is>
          <t>삼성</t>
        </is>
      </c>
      <c r="D299" t="inlineStr">
        <is>
          <t>키움</t>
        </is>
      </c>
      <c r="E299" t="n">
        <v>1001</v>
      </c>
      <c r="F299" t="n">
        <v>10001</v>
      </c>
      <c r="G299" t="n">
        <v>61.15</v>
      </c>
      <c r="H299" t="n">
        <v>0.6114591200216059</v>
      </c>
      <c r="I299" t="inlineStr">
        <is>
          <t>elo_sp</t>
        </is>
      </c>
      <c r="J299">
        <f>MAX(H299,1-H299)</f>
        <v/>
      </c>
      <c r="K299">
        <f>_xlfn.IFS(
J299&lt;=0.55,"50~55",
J299&lt;=0.6,"55~60",
J299&lt;=0.65,"60~65",
J299&lt;=0.7,"65~70",
TRUE,"70~100"
)</f>
        <v/>
      </c>
      <c r="L299">
        <f>IF(H299&gt;=0.5,"HOME","AWAY")</f>
        <v/>
      </c>
      <c r="M299">
        <f>IF(AND(N299&lt;&gt;"", OR(N299=0, N299=1)), (J299-N299)^2, "")</f>
        <v/>
      </c>
      <c r="N299" t="n">
        <v>1</v>
      </c>
      <c r="O299">
        <f>IF(AND(N299&lt;&gt;"", OR(N299=0, N299=1)), IF(ROUND(H299,0)=N299, 1, 0), "")</f>
        <v/>
      </c>
    </row>
    <row r="300">
      <c r="A300" t="n">
        <v>20260344</v>
      </c>
      <c r="B300" t="inlineStr">
        <is>
          <t>2026-06-16</t>
        </is>
      </c>
      <c r="C300" t="inlineStr">
        <is>
          <t>KIA</t>
        </is>
      </c>
      <c r="D300" t="inlineStr">
        <is>
          <t>LG</t>
        </is>
      </c>
      <c r="E300" t="n">
        <v>2002</v>
      </c>
      <c r="F300" t="n">
        <v>5002</v>
      </c>
      <c r="G300" t="n">
        <v>34.56</v>
      </c>
      <c r="H300" t="n">
        <v>0.3455788974517199</v>
      </c>
      <c r="I300" t="inlineStr">
        <is>
          <t>elo_sp</t>
        </is>
      </c>
      <c r="J300">
        <f>MAX(H300,1-H300)</f>
        <v/>
      </c>
      <c r="K300">
        <f>_xlfn.IFS(
J300&lt;=0.55,"50~55",
J300&lt;=0.6,"55~60",
J300&lt;=0.65,"60~65",
J300&lt;=0.7,"65~70",
TRUE,"70~100"
)</f>
        <v/>
      </c>
      <c r="L300">
        <f>IF(H300&gt;=0.5,"HOME","AWAY")</f>
        <v/>
      </c>
      <c r="M300">
        <f>IF(AND(N300&lt;&gt;"", OR(N300=0, N300=1)), (J300-N300)^2, "")</f>
        <v/>
      </c>
      <c r="N300" t="n">
        <v>0</v>
      </c>
      <c r="O300">
        <f>IF(AND(N300&lt;&gt;"", OR(N300=0, N300=1)), IF(ROUND(H300,0)=N300, 1, 0), "")</f>
        <v/>
      </c>
    </row>
    <row r="301">
      <c r="A301" t="n">
        <v>20260345</v>
      </c>
      <c r="B301" t="inlineStr">
        <is>
          <t>2026-06-16</t>
        </is>
      </c>
      <c r="C301" t="inlineStr">
        <is>
          <t>NC</t>
        </is>
      </c>
      <c r="D301" t="inlineStr">
        <is>
          <t>한화</t>
        </is>
      </c>
      <c r="E301" t="n">
        <v>11001</v>
      </c>
      <c r="F301" t="n">
        <v>7002</v>
      </c>
      <c r="G301" t="n">
        <v>45.25</v>
      </c>
      <c r="H301" t="n">
        <v>0.4524942528028157</v>
      </c>
      <c r="I301" t="inlineStr">
        <is>
          <t>elo_sp</t>
        </is>
      </c>
      <c r="J301">
        <f>MAX(H301,1-H301)</f>
        <v/>
      </c>
      <c r="K301">
        <f>_xlfn.IFS(
J301&lt;=0.55,"50~55",
J301&lt;=0.6,"55~60",
J301&lt;=0.65,"60~65",
J301&lt;=0.7,"65~70",
TRUE,"70~100"
)</f>
        <v/>
      </c>
      <c r="L301">
        <f>IF(H301&gt;=0.5,"HOME","AWAY")</f>
        <v/>
      </c>
      <c r="M301">
        <f>IF(AND(N301&lt;&gt;"", OR(N301=0, N301=1)), (J301-N301)^2, "")</f>
        <v/>
      </c>
      <c r="N301" t="n">
        <v>1</v>
      </c>
      <c r="O301">
        <f>IF(AND(N301&lt;&gt;"", OR(N301=0, N301=1)), IF(ROUND(H301,0)=N301, 1, 0), "")</f>
        <v/>
      </c>
    </row>
    <row r="302">
      <c r="A302" t="n">
        <v>20260346</v>
      </c>
      <c r="B302" t="inlineStr">
        <is>
          <t>2026-06-17</t>
        </is>
      </c>
      <c r="C302" t="inlineStr">
        <is>
          <t>두산</t>
        </is>
      </c>
      <c r="D302" t="inlineStr">
        <is>
          <t>KT</t>
        </is>
      </c>
      <c r="E302" t="n">
        <v>6002</v>
      </c>
      <c r="F302" t="n">
        <v>12001</v>
      </c>
      <c r="G302" t="n">
        <v>26.81</v>
      </c>
      <c r="H302" t="n">
        <v>0.2681008054827184</v>
      </c>
      <c r="I302" t="inlineStr">
        <is>
          <t>elo_sp</t>
        </is>
      </c>
      <c r="J302">
        <f>MAX(H302,1-H302)</f>
        <v/>
      </c>
      <c r="K302">
        <f>_xlfn.IFS(
J302&lt;=0.55,"50~55",
J302&lt;=0.6,"55~60",
J302&lt;=0.65,"60~65",
J302&lt;=0.7,"65~70",
TRUE,"70~100"
)</f>
        <v/>
      </c>
      <c r="L302">
        <f>IF(H302&gt;=0.5,"HOME","AWAY")</f>
        <v/>
      </c>
      <c r="M302">
        <f>IF(AND(N302&lt;&gt;"", OR(N302=0, N302=1)), (J302-N302)^2, "")</f>
        <v/>
      </c>
      <c r="N302" t="n">
        <v>0</v>
      </c>
      <c r="O302">
        <f>IF(AND(N302&lt;&gt;"", OR(N302=0, N302=1)), IF(ROUND(H302,0)=N302, 1, 0), "")</f>
        <v/>
      </c>
    </row>
    <row r="303">
      <c r="A303" t="n">
        <v>20260347</v>
      </c>
      <c r="B303" t="inlineStr">
        <is>
          <t>2026-06-17</t>
        </is>
      </c>
      <c r="C303" t="inlineStr">
        <is>
          <t>SSG</t>
        </is>
      </c>
      <c r="D303" t="inlineStr">
        <is>
          <t>롯데</t>
        </is>
      </c>
      <c r="E303" t="n">
        <v>9002</v>
      </c>
      <c r="F303" t="n">
        <v>3001</v>
      </c>
      <c r="G303" t="n">
        <v>44.86</v>
      </c>
      <c r="H303" t="n">
        <v>0.4486198417674189</v>
      </c>
      <c r="I303" t="inlineStr">
        <is>
          <t>elo_sp</t>
        </is>
      </c>
      <c r="J303">
        <f>MAX(H303,1-H303)</f>
        <v/>
      </c>
      <c r="K303">
        <f>_xlfn.IFS(
J303&lt;=0.55,"50~55",
J303&lt;=0.6,"55~60",
J303&lt;=0.65,"60~65",
J303&lt;=0.7,"65~70",
TRUE,"70~100"
)</f>
        <v/>
      </c>
      <c r="L303">
        <f>IF(H303&gt;=0.5,"HOME","AWAY")</f>
        <v/>
      </c>
      <c r="M303">
        <f>IF(AND(N303&lt;&gt;"", OR(N303=0, N303=1)), (J303-N303)^2, "")</f>
        <v/>
      </c>
      <c r="N303" t="n">
        <v>0</v>
      </c>
      <c r="O303">
        <f>IF(AND(N303&lt;&gt;"", OR(N303=0, N303=1)), IF(ROUND(H303,0)=N303, 1, 0), "")</f>
        <v/>
      </c>
    </row>
    <row r="304">
      <c r="A304" t="n">
        <v>20260348</v>
      </c>
      <c r="B304" t="inlineStr">
        <is>
          <t>2026-06-17</t>
        </is>
      </c>
      <c r="C304" t="inlineStr">
        <is>
          <t>삼성</t>
        </is>
      </c>
      <c r="D304" t="inlineStr">
        <is>
          <t>키움</t>
        </is>
      </c>
      <c r="E304" t="n">
        <v>1001</v>
      </c>
      <c r="F304" t="n">
        <v>10001</v>
      </c>
      <c r="G304" t="n">
        <v>47.39</v>
      </c>
      <c r="H304" t="n">
        <v>0.4739417887049224</v>
      </c>
      <c r="I304" t="inlineStr">
        <is>
          <t>elo_sp</t>
        </is>
      </c>
      <c r="J304">
        <f>MAX(H304,1-H304)</f>
        <v/>
      </c>
      <c r="K304">
        <f>_xlfn.IFS(
J304&lt;=0.55,"50~55",
J304&lt;=0.6,"55~60",
J304&lt;=0.65,"60~65",
J304&lt;=0.7,"65~70",
TRUE,"70~100"
)</f>
        <v/>
      </c>
      <c r="L304">
        <f>IF(H304&gt;=0.5,"HOME","AWAY")</f>
        <v/>
      </c>
      <c r="M304">
        <f>IF(AND(N304&lt;&gt;"", OR(N304=0, N304=1)), (J304-N304)^2, "")</f>
        <v/>
      </c>
      <c r="N304" t="n">
        <v>1</v>
      </c>
      <c r="O304">
        <f>IF(AND(N304&lt;&gt;"", OR(N304=0, N304=1)), IF(ROUND(H304,0)=N304, 1, 0), "")</f>
        <v/>
      </c>
    </row>
    <row r="305">
      <c r="A305" t="n">
        <v>20260349</v>
      </c>
      <c r="B305" t="inlineStr">
        <is>
          <t>2026-06-17</t>
        </is>
      </c>
      <c r="C305" t="inlineStr">
        <is>
          <t>KIA</t>
        </is>
      </c>
      <c r="D305" t="inlineStr">
        <is>
          <t>LG</t>
        </is>
      </c>
      <c r="E305" t="n">
        <v>2002</v>
      </c>
      <c r="F305" t="n">
        <v>5002</v>
      </c>
      <c r="G305" t="n">
        <v>54.62</v>
      </c>
      <c r="H305" t="n">
        <v>0.5462436341187961</v>
      </c>
      <c r="I305" t="inlineStr">
        <is>
          <t>elo_sp</t>
        </is>
      </c>
      <c r="J305">
        <f>MAX(H305,1-H305)</f>
        <v/>
      </c>
      <c r="K305">
        <f>_xlfn.IFS(
J305&lt;=0.55,"50~55",
J305&lt;=0.6,"55~60",
J305&lt;=0.65,"60~65",
J305&lt;=0.7,"65~70",
TRUE,"70~100"
)</f>
        <v/>
      </c>
      <c r="L305">
        <f>IF(H305&gt;=0.5,"HOME","AWAY")</f>
        <v/>
      </c>
      <c r="M305">
        <f>IF(AND(N305&lt;&gt;"", OR(N305=0, N305=1)), (J305-N305)^2, "")</f>
        <v/>
      </c>
      <c r="N305" t="n">
        <v>1</v>
      </c>
      <c r="O305">
        <f>IF(AND(N305&lt;&gt;"", OR(N305=0, N305=1)), IF(ROUND(H305,0)=N305, 1, 0), "")</f>
        <v/>
      </c>
    </row>
    <row r="306">
      <c r="A306" t="n">
        <v>20260350</v>
      </c>
      <c r="B306" t="inlineStr">
        <is>
          <t>2026-06-17</t>
        </is>
      </c>
      <c r="C306" t="inlineStr">
        <is>
          <t>NC</t>
        </is>
      </c>
      <c r="D306" t="inlineStr">
        <is>
          <t>한화</t>
        </is>
      </c>
      <c r="E306" t="n">
        <v>11001</v>
      </c>
      <c r="F306" t="n">
        <v>7002</v>
      </c>
      <c r="G306" t="n">
        <v>58.32</v>
      </c>
      <c r="H306" t="n">
        <v>0.5831613116589945</v>
      </c>
      <c r="I306" t="inlineStr">
        <is>
          <t>elo_sp</t>
        </is>
      </c>
      <c r="J306">
        <f>MAX(H306,1-H306)</f>
        <v/>
      </c>
      <c r="K306">
        <f>_xlfn.IFS(
J306&lt;=0.55,"50~55",
J306&lt;=0.6,"55~60",
J306&lt;=0.65,"60~65",
J306&lt;=0.7,"65~70",
TRUE,"70~100"
)</f>
        <v/>
      </c>
      <c r="L306">
        <f>IF(H306&gt;=0.5,"HOME","AWAY")</f>
        <v/>
      </c>
      <c r="M306">
        <f>IF(AND(N306&lt;&gt;"", OR(N306=0, N306=1)), (J306-N306)^2, "")</f>
        <v/>
      </c>
      <c r="N306" t="n">
        <v>1</v>
      </c>
      <c r="O306">
        <f>IF(AND(N306&lt;&gt;"", OR(N306=0, N306=1)), IF(ROUND(H306,0)=N306, 1, 0), "")</f>
        <v/>
      </c>
    </row>
    <row r="307">
      <c r="A307" t="n">
        <v>20260351</v>
      </c>
      <c r="B307" t="inlineStr">
        <is>
          <t>2026-06-18</t>
        </is>
      </c>
      <c r="C307" t="inlineStr">
        <is>
          <t>두산</t>
        </is>
      </c>
      <c r="D307" t="inlineStr">
        <is>
          <t>KT</t>
        </is>
      </c>
      <c r="E307" t="n">
        <v>6002</v>
      </c>
      <c r="F307" t="n">
        <v>12001</v>
      </c>
      <c r="G307" t="n">
        <v>47.74</v>
      </c>
      <c r="H307" t="n">
        <v>0.4773622423977894</v>
      </c>
      <c r="I307" t="inlineStr">
        <is>
          <t>elo_sp</t>
        </is>
      </c>
      <c r="J307">
        <f>MAX(H307,1-H307)</f>
        <v/>
      </c>
      <c r="K307">
        <f>_xlfn.IFS(
J307&lt;=0.55,"50~55",
J307&lt;=0.6,"55~60",
J307&lt;=0.65,"60~65",
J307&lt;=0.7,"65~70",
TRUE,"70~100"
)</f>
        <v/>
      </c>
      <c r="L307">
        <f>IF(H307&gt;=0.5,"HOME","AWAY")</f>
        <v/>
      </c>
      <c r="M307">
        <f>IF(AND(N307&lt;&gt;"", OR(N307=0, N307=1)), (J307-N307)^2, "")</f>
        <v/>
      </c>
      <c r="N307" t="n">
        <v>1</v>
      </c>
      <c r="O307">
        <f>IF(AND(N307&lt;&gt;"", OR(N307=0, N307=1)), IF(ROUND(H307,0)=N307, 1, 0), "")</f>
        <v/>
      </c>
    </row>
    <row r="308">
      <c r="A308" t="n">
        <v>20260352</v>
      </c>
      <c r="B308" t="inlineStr">
        <is>
          <t>2026-06-18</t>
        </is>
      </c>
      <c r="C308" t="inlineStr">
        <is>
          <t>SSG</t>
        </is>
      </c>
      <c r="D308" t="inlineStr">
        <is>
          <t>롯데</t>
        </is>
      </c>
      <c r="E308" t="n">
        <v>9002</v>
      </c>
      <c r="F308" t="n">
        <v>3001</v>
      </c>
      <c r="G308" t="n">
        <v>40.83</v>
      </c>
      <c r="H308" t="n">
        <v>0.4083385516233893</v>
      </c>
      <c r="I308" t="inlineStr">
        <is>
          <t>elo_sp</t>
        </is>
      </c>
      <c r="J308">
        <f>MAX(H308,1-H308)</f>
        <v/>
      </c>
      <c r="K308">
        <f>_xlfn.IFS(
J308&lt;=0.55,"50~55",
J308&lt;=0.6,"55~60",
J308&lt;=0.65,"60~65",
J308&lt;=0.7,"65~70",
TRUE,"70~100"
)</f>
        <v/>
      </c>
      <c r="L308">
        <f>IF(H308&gt;=0.5,"HOME","AWAY")</f>
        <v/>
      </c>
      <c r="M308">
        <f>IF(AND(N308&lt;&gt;"", OR(N308=0, N308=1)), (J308-N308)^2, "")</f>
        <v/>
      </c>
      <c r="N308" t="inlineStr">
        <is>
          <t>draw</t>
        </is>
      </c>
      <c r="O308">
        <f>IF(AND(N308&lt;&gt;"", OR(N308=0, N308=1)), IF(ROUND(H308,0)=N308, 1, 0), "")</f>
        <v/>
      </c>
    </row>
    <row r="309">
      <c r="A309" t="n">
        <v>20260353</v>
      </c>
      <c r="B309" t="inlineStr">
        <is>
          <t>2026-06-18</t>
        </is>
      </c>
      <c r="C309" t="inlineStr">
        <is>
          <t>삼성</t>
        </is>
      </c>
      <c r="D309" t="inlineStr">
        <is>
          <t>키움</t>
        </is>
      </c>
      <c r="E309" t="n">
        <v>1001</v>
      </c>
      <c r="F309" t="n">
        <v>10001</v>
      </c>
      <c r="G309" t="n">
        <v>42.52</v>
      </c>
      <c r="H309" t="n">
        <v>0.4252082665784856</v>
      </c>
      <c r="I309" t="inlineStr">
        <is>
          <t>elo_sp</t>
        </is>
      </c>
      <c r="J309">
        <f>MAX(H309,1-H309)</f>
        <v/>
      </c>
      <c r="K309">
        <f>_xlfn.IFS(
J309&lt;=0.55,"50~55",
J309&lt;=0.6,"55~60",
J309&lt;=0.65,"60~65",
J309&lt;=0.7,"65~70",
TRUE,"70~100"
)</f>
        <v/>
      </c>
      <c r="L309">
        <f>IF(H309&gt;=0.5,"HOME","AWAY")</f>
        <v/>
      </c>
      <c r="M309">
        <f>IF(AND(N309&lt;&gt;"", OR(N309=0, N309=1)), (J309-N309)^2, "")</f>
        <v/>
      </c>
      <c r="N309" t="n">
        <v>1</v>
      </c>
      <c r="O309">
        <f>IF(AND(N309&lt;&gt;"", OR(N309=0, N309=1)), IF(ROUND(H309,0)=N309, 1, 0), "")</f>
        <v/>
      </c>
    </row>
    <row r="310">
      <c r="A310" t="n">
        <v>20260354</v>
      </c>
      <c r="B310" t="inlineStr">
        <is>
          <t>2026-06-18</t>
        </is>
      </c>
      <c r="C310" t="inlineStr">
        <is>
          <t>KIA</t>
        </is>
      </c>
      <c r="D310" t="inlineStr">
        <is>
          <t>LG</t>
        </is>
      </c>
      <c r="E310" t="n">
        <v>2002</v>
      </c>
      <c r="F310" t="n">
        <v>5002</v>
      </c>
      <c r="G310" t="n">
        <v>36.95</v>
      </c>
      <c r="H310" t="n">
        <v>0.3694639165396219</v>
      </c>
      <c r="I310" t="inlineStr">
        <is>
          <t>elo_sp</t>
        </is>
      </c>
      <c r="J310">
        <f>MAX(H310,1-H310)</f>
        <v/>
      </c>
      <c r="K310">
        <f>_xlfn.IFS(
J310&lt;=0.55,"50~55",
J310&lt;=0.6,"55~60",
J310&lt;=0.65,"60~65",
J310&lt;=0.7,"65~70",
TRUE,"70~100"
)</f>
        <v/>
      </c>
      <c r="L310">
        <f>IF(H310&gt;=0.5,"HOME","AWAY")</f>
        <v/>
      </c>
      <c r="M310">
        <f>IF(AND(N310&lt;&gt;"", OR(N310=0, N310=1)), (J310-N310)^2, "")</f>
        <v/>
      </c>
      <c r="N310" t="n">
        <v>1</v>
      </c>
      <c r="O310">
        <f>IF(AND(N310&lt;&gt;"", OR(N310=0, N310=1)), IF(ROUND(H310,0)=N310, 1, 0), "")</f>
        <v/>
      </c>
    </row>
    <row r="311">
      <c r="A311" t="n">
        <v>20260355</v>
      </c>
      <c r="B311" t="inlineStr">
        <is>
          <t>2026-06-18</t>
        </is>
      </c>
      <c r="C311" t="inlineStr">
        <is>
          <t>NC</t>
        </is>
      </c>
      <c r="D311" t="inlineStr">
        <is>
          <t>한화</t>
        </is>
      </c>
      <c r="E311" t="n">
        <v>11001</v>
      </c>
      <c r="F311" t="n">
        <v>7002</v>
      </c>
      <c r="G311" t="n">
        <v>47.26</v>
      </c>
      <c r="H311" t="n">
        <v>0.4725707946117352</v>
      </c>
      <c r="I311" t="inlineStr">
        <is>
          <t>elo_sp</t>
        </is>
      </c>
      <c r="J311">
        <f>MAX(H311,1-H311)</f>
        <v/>
      </c>
      <c r="K311">
        <f>_xlfn.IFS(
J311&lt;=0.55,"50~55",
J311&lt;=0.6,"55~60",
J311&lt;=0.65,"60~65",
J311&lt;=0.7,"65~70",
TRUE,"70~100"
)</f>
        <v/>
      </c>
      <c r="L311">
        <f>IF(H311&gt;=0.5,"HOME","AWAY")</f>
        <v/>
      </c>
      <c r="M311">
        <f>IF(AND(N311&lt;&gt;"", OR(N311=0, N311=1)), (J311-N311)^2, "")</f>
        <v/>
      </c>
      <c r="N311" t="n">
        <v>1</v>
      </c>
      <c r="O311">
        <f>IF(AND(N311&lt;&gt;"", OR(N311=0, N311=1)), IF(ROUND(H311,0)=N311, 1, 0), "")</f>
        <v/>
      </c>
    </row>
    <row r="312">
      <c r="A312" t="n">
        <v>20260356</v>
      </c>
      <c r="B312" t="inlineStr">
        <is>
          <t>2026-06-19</t>
        </is>
      </c>
      <c r="C312" t="inlineStr">
        <is>
          <t>LG</t>
        </is>
      </c>
      <c r="D312" t="inlineStr">
        <is>
          <t>두산</t>
        </is>
      </c>
      <c r="E312" t="n">
        <v>5002</v>
      </c>
      <c r="F312" t="n">
        <v>6002</v>
      </c>
      <c r="G312" t="n">
        <v>28.43</v>
      </c>
      <c r="H312" t="n">
        <v>0.2843361230065272</v>
      </c>
      <c r="I312" t="inlineStr">
        <is>
          <t>elo_sp</t>
        </is>
      </c>
      <c r="J312">
        <f>MAX(H312,1-H312)</f>
        <v/>
      </c>
      <c r="K312">
        <f>_xlfn.IFS(
J312&lt;=0.55,"50~55",
J312&lt;=0.6,"55~60",
J312&lt;=0.65,"60~65",
J312&lt;=0.7,"65~70",
TRUE,"70~100"
)</f>
        <v/>
      </c>
      <c r="L312">
        <f>IF(H312&gt;=0.5,"HOME","AWAY")</f>
        <v/>
      </c>
      <c r="M312">
        <f>IF(AND(N312&lt;&gt;"", OR(N312=0, N312=1)), (J312-N312)^2, "")</f>
        <v/>
      </c>
      <c r="N312" t="n">
        <v>1</v>
      </c>
      <c r="O312">
        <f>IF(AND(N312&lt;&gt;"", OR(N312=0, N312=1)), IF(ROUND(H312,0)=N312, 1, 0), "")</f>
        <v/>
      </c>
    </row>
    <row r="313">
      <c r="A313" t="n">
        <v>20260357</v>
      </c>
      <c r="B313" t="inlineStr">
        <is>
          <t>2026-06-19</t>
        </is>
      </c>
      <c r="C313" t="inlineStr">
        <is>
          <t>키움</t>
        </is>
      </c>
      <c r="D313" t="inlineStr">
        <is>
          <t>롯데</t>
        </is>
      </c>
      <c r="E313" t="n">
        <v>10001</v>
      </c>
      <c r="F313" t="n">
        <v>3001</v>
      </c>
      <c r="G313" t="n">
        <v>72.33</v>
      </c>
      <c r="H313" t="n">
        <v>0.723340268099218</v>
      </c>
      <c r="I313" t="inlineStr">
        <is>
          <t>elo_sp</t>
        </is>
      </c>
      <c r="J313">
        <f>MAX(H313,1-H313)</f>
        <v/>
      </c>
      <c r="K313">
        <f>_xlfn.IFS(
J313&lt;=0.55,"50~55",
J313&lt;=0.6,"55~60",
J313&lt;=0.65,"60~65",
J313&lt;=0.7,"65~70",
TRUE,"70~100"
)</f>
        <v/>
      </c>
      <c r="L313">
        <f>IF(H313&gt;=0.5,"HOME","AWAY")</f>
        <v/>
      </c>
      <c r="M313">
        <f>IF(AND(N313&lt;&gt;"", OR(N313=0, N313=1)), (J313-N313)^2, "")</f>
        <v/>
      </c>
      <c r="N313" t="n">
        <v>0</v>
      </c>
      <c r="O313">
        <f>IF(AND(N313&lt;&gt;"", OR(N313=0, N313=1)), IF(ROUND(H313,0)=N313, 1, 0), "")</f>
        <v/>
      </c>
    </row>
    <row r="314">
      <c r="A314" t="n">
        <v>20260358</v>
      </c>
      <c r="B314" t="inlineStr">
        <is>
          <t>2026-06-19</t>
        </is>
      </c>
      <c r="C314" t="inlineStr">
        <is>
          <t>KT</t>
        </is>
      </c>
      <c r="D314" t="inlineStr">
        <is>
          <t>KIA</t>
        </is>
      </c>
      <c r="E314" t="n">
        <v>12001</v>
      </c>
      <c r="F314" t="n">
        <v>2002</v>
      </c>
      <c r="G314" t="n">
        <v>47.5</v>
      </c>
      <c r="H314" t="n">
        <v>0.4750319115558281</v>
      </c>
      <c r="I314" t="inlineStr">
        <is>
          <t>elo_sp</t>
        </is>
      </c>
      <c r="J314">
        <f>MAX(H314,1-H314)</f>
        <v/>
      </c>
      <c r="K314">
        <f>_xlfn.IFS(
J314&lt;=0.55,"50~55",
J314&lt;=0.6,"55~60",
J314&lt;=0.65,"60~65",
J314&lt;=0.7,"65~70",
TRUE,"70~100"
)</f>
        <v/>
      </c>
      <c r="L314">
        <f>IF(H314&gt;=0.5,"HOME","AWAY")</f>
        <v/>
      </c>
      <c r="M314">
        <f>IF(AND(N314&lt;&gt;"", OR(N314=0, N314=1)), (J314-N314)^2, "")</f>
        <v/>
      </c>
      <c r="N314" t="n">
        <v>0</v>
      </c>
      <c r="O314">
        <f>IF(AND(N314&lt;&gt;"", OR(N314=0, N314=1)), IF(ROUND(H314,0)=N314, 1, 0), "")</f>
        <v/>
      </c>
    </row>
    <row r="315">
      <c r="A315" t="n">
        <v>20260359</v>
      </c>
      <c r="B315" t="inlineStr">
        <is>
          <t>2026-06-19</t>
        </is>
      </c>
      <c r="C315" t="inlineStr">
        <is>
          <t>한화</t>
        </is>
      </c>
      <c r="D315" t="inlineStr">
        <is>
          <t>삼성</t>
        </is>
      </c>
      <c r="E315" t="n">
        <v>7002</v>
      </c>
      <c r="F315" t="n">
        <v>1001</v>
      </c>
      <c r="G315" t="n">
        <v>33.32</v>
      </c>
      <c r="H315" t="n">
        <v>0.3332230304445932</v>
      </c>
      <c r="I315" t="inlineStr">
        <is>
          <t>elo_sp</t>
        </is>
      </c>
      <c r="J315">
        <f>MAX(H315,1-H315)</f>
        <v/>
      </c>
      <c r="K315">
        <f>_xlfn.IFS(
J315&lt;=0.55,"50~55",
J315&lt;=0.6,"55~60",
J315&lt;=0.65,"60~65",
J315&lt;=0.7,"65~70",
TRUE,"70~100"
)</f>
        <v/>
      </c>
      <c r="L315">
        <f>IF(H315&gt;=0.5,"HOME","AWAY")</f>
        <v/>
      </c>
      <c r="M315">
        <f>IF(AND(N315&lt;&gt;"", OR(N315=0, N315=1)), (J315-N315)^2, "")</f>
        <v/>
      </c>
      <c r="N315" t="inlineStr">
        <is>
          <t>draw</t>
        </is>
      </c>
      <c r="O315">
        <f>IF(AND(N315&lt;&gt;"", OR(N315=0, N315=1)), IF(ROUND(H315,0)=N315, 1, 0), "")</f>
        <v/>
      </c>
    </row>
    <row r="316">
      <c r="A316" t="n">
        <v>20260360</v>
      </c>
      <c r="B316" t="inlineStr">
        <is>
          <t>2026-06-19</t>
        </is>
      </c>
      <c r="C316" t="inlineStr">
        <is>
          <t>NC</t>
        </is>
      </c>
      <c r="D316" t="inlineStr">
        <is>
          <t>SSG</t>
        </is>
      </c>
      <c r="E316" t="n">
        <v>11001</v>
      </c>
      <c r="F316" t="n">
        <v>9002</v>
      </c>
      <c r="G316" t="n">
        <v>59.09</v>
      </c>
      <c r="H316" t="n">
        <v>0.5909155956257636</v>
      </c>
      <c r="I316" t="inlineStr">
        <is>
          <t>elo_sp</t>
        </is>
      </c>
      <c r="J316">
        <f>MAX(H316,1-H316)</f>
        <v/>
      </c>
      <c r="K316">
        <f>_xlfn.IFS(
J316&lt;=0.55,"50~55",
J316&lt;=0.6,"55~60",
J316&lt;=0.65,"60~65",
J316&lt;=0.7,"65~70",
TRUE,"70~100"
)</f>
        <v/>
      </c>
      <c r="L316">
        <f>IF(H316&gt;=0.5,"HOME","AWAY")</f>
        <v/>
      </c>
      <c r="M316">
        <f>IF(AND(N316&lt;&gt;"", OR(N316=0, N316=1)), (J316-N316)^2, "")</f>
        <v/>
      </c>
      <c r="N316" t="n">
        <v>1</v>
      </c>
      <c r="O316">
        <f>IF(AND(N316&lt;&gt;"", OR(N316=0, N316=1)), IF(ROUND(H316,0)=N316, 1, 0), "")</f>
        <v/>
      </c>
    </row>
    <row r="317">
      <c r="A317" t="n">
        <v>20260361</v>
      </c>
      <c r="B317" t="inlineStr">
        <is>
          <t>2026-06-20</t>
        </is>
      </c>
      <c r="C317" t="inlineStr">
        <is>
          <t>LG</t>
        </is>
      </c>
      <c r="D317" t="inlineStr">
        <is>
          <t>두산</t>
        </is>
      </c>
      <c r="E317" t="n">
        <v>5002</v>
      </c>
      <c r="F317" t="n">
        <v>6002</v>
      </c>
      <c r="G317" t="n">
        <v>44.36</v>
      </c>
      <c r="H317" t="n">
        <v>0.4435813069604986</v>
      </c>
      <c r="I317" t="inlineStr">
        <is>
          <t>elo_sp</t>
        </is>
      </c>
      <c r="J317">
        <f>MAX(H317,1-H317)</f>
        <v/>
      </c>
      <c r="K317">
        <f>_xlfn.IFS(
J317&lt;=0.55,"50~55",
J317&lt;=0.6,"55~60",
J317&lt;=0.65,"60~65",
J317&lt;=0.7,"65~70",
TRUE,"70~100"
)</f>
        <v/>
      </c>
      <c r="L317">
        <f>IF(H317&gt;=0.5,"HOME","AWAY")</f>
        <v/>
      </c>
      <c r="M317">
        <f>IF(AND(N317&lt;&gt;"", OR(N317=0, N317=1)), (J317-N317)^2, "")</f>
        <v/>
      </c>
      <c r="N317" t="n">
        <v>1</v>
      </c>
      <c r="O317">
        <f>IF(AND(N317&lt;&gt;"", OR(N317=0, N317=1)), IF(ROUND(H317,0)=N317, 1, 0), "")</f>
        <v/>
      </c>
    </row>
    <row r="318">
      <c r="A318" t="n">
        <v>20260362</v>
      </c>
      <c r="B318" t="inlineStr">
        <is>
          <t>2026-06-20</t>
        </is>
      </c>
      <c r="C318" t="inlineStr">
        <is>
          <t>키움</t>
        </is>
      </c>
      <c r="D318" t="inlineStr">
        <is>
          <t>롯데</t>
        </is>
      </c>
      <c r="E318" t="n">
        <v>10001</v>
      </c>
      <c r="F318" t="n">
        <v>3001</v>
      </c>
      <c r="G318" t="n">
        <v>58.67</v>
      </c>
      <c r="H318" t="n">
        <v>0.5867006295667262</v>
      </c>
      <c r="I318" t="inlineStr">
        <is>
          <t>elo_sp</t>
        </is>
      </c>
      <c r="J318">
        <f>MAX(H318,1-H318)</f>
        <v/>
      </c>
      <c r="K318">
        <f>_xlfn.IFS(
J318&lt;=0.55,"50~55",
J318&lt;=0.6,"55~60",
J318&lt;=0.65,"60~65",
J318&lt;=0.7,"65~70",
TRUE,"70~100"
)</f>
        <v/>
      </c>
      <c r="L318">
        <f>IF(H318&gt;=0.5,"HOME","AWAY")</f>
        <v/>
      </c>
      <c r="M318">
        <f>IF(AND(N318&lt;&gt;"", OR(N318=0, N318=1)), (J318-N318)^2, "")</f>
        <v/>
      </c>
      <c r="N318" t="n">
        <v>0</v>
      </c>
      <c r="O318">
        <f>IF(AND(N318&lt;&gt;"", OR(N318=0, N318=1)), IF(ROUND(H318,0)=N318, 1, 0), "")</f>
        <v/>
      </c>
    </row>
    <row r="319">
      <c r="A319" t="n">
        <v>20260363</v>
      </c>
      <c r="B319" t="inlineStr">
        <is>
          <t>2026-06-20</t>
        </is>
      </c>
      <c r="C319" t="inlineStr">
        <is>
          <t>KT</t>
        </is>
      </c>
      <c r="D319" t="inlineStr">
        <is>
          <t>KIA</t>
        </is>
      </c>
      <c r="E319" t="n">
        <v>12001</v>
      </c>
      <c r="F319" t="n">
        <v>2002</v>
      </c>
      <c r="G319" t="n">
        <v>51.77</v>
      </c>
      <c r="H319" t="n">
        <v>0.5176523872860594</v>
      </c>
      <c r="I319" t="inlineStr">
        <is>
          <t>elo_sp</t>
        </is>
      </c>
      <c r="J319">
        <f>MAX(H319,1-H319)</f>
        <v/>
      </c>
      <c r="K319">
        <f>_xlfn.IFS(
J319&lt;=0.55,"50~55",
J319&lt;=0.6,"55~60",
J319&lt;=0.65,"60~65",
J319&lt;=0.7,"65~70",
TRUE,"70~100"
)</f>
        <v/>
      </c>
      <c r="L319">
        <f>IF(H319&gt;=0.5,"HOME","AWAY")</f>
        <v/>
      </c>
      <c r="M319">
        <f>IF(AND(N319&lt;&gt;"", OR(N319=0, N319=1)), (J319-N319)^2, "")</f>
        <v/>
      </c>
      <c r="N319" t="n">
        <v>1</v>
      </c>
      <c r="O319">
        <f>IF(AND(N319&lt;&gt;"", OR(N319=0, N319=1)), IF(ROUND(H319,0)=N319, 1, 0), "")</f>
        <v/>
      </c>
    </row>
    <row r="320">
      <c r="A320" t="n">
        <v>20260364</v>
      </c>
      <c r="B320" t="inlineStr">
        <is>
          <t>2026-06-20</t>
        </is>
      </c>
      <c r="C320" t="inlineStr">
        <is>
          <t>한화</t>
        </is>
      </c>
      <c r="D320" t="inlineStr">
        <is>
          <t>삼성</t>
        </is>
      </c>
      <c r="E320" t="n">
        <v>7002</v>
      </c>
      <c r="F320" t="n">
        <v>1001</v>
      </c>
      <c r="G320" t="n">
        <v>52.18</v>
      </c>
      <c r="H320" t="n">
        <v>0.5217700558337527</v>
      </c>
      <c r="I320" t="inlineStr">
        <is>
          <t>elo_sp</t>
        </is>
      </c>
      <c r="J320">
        <f>MAX(H320,1-H320)</f>
        <v/>
      </c>
      <c r="K320">
        <f>_xlfn.IFS(
J320&lt;=0.55,"50~55",
J320&lt;=0.6,"55~60",
J320&lt;=0.65,"60~65",
J320&lt;=0.7,"65~70",
TRUE,"70~100"
)</f>
        <v/>
      </c>
      <c r="L320">
        <f>IF(H320&gt;=0.5,"HOME","AWAY")</f>
        <v/>
      </c>
      <c r="M320">
        <f>IF(AND(N320&lt;&gt;"", OR(N320=0, N320=1)), (J320-N320)^2, "")</f>
        <v/>
      </c>
      <c r="N320" t="n">
        <v>1</v>
      </c>
      <c r="O320">
        <f>IF(AND(N320&lt;&gt;"", OR(N320=0, N320=1)), IF(ROUND(H320,0)=N320, 1, 0), "")</f>
        <v/>
      </c>
    </row>
    <row r="321">
      <c r="A321" t="n">
        <v>20260365</v>
      </c>
      <c r="B321" t="inlineStr">
        <is>
          <t>2026-06-20</t>
        </is>
      </c>
      <c r="C321" t="inlineStr">
        <is>
          <t>NC</t>
        </is>
      </c>
      <c r="D321" t="inlineStr">
        <is>
          <t>SSG</t>
        </is>
      </c>
      <c r="E321" t="n">
        <v>11001</v>
      </c>
      <c r="F321" t="n">
        <v>9002</v>
      </c>
      <c r="G321" t="n">
        <v>82.79000000000001</v>
      </c>
      <c r="H321" t="n">
        <v>0.8278898073679465</v>
      </c>
      <c r="I321" t="inlineStr">
        <is>
          <t>elo_sp</t>
        </is>
      </c>
      <c r="J321">
        <f>MAX(H321,1-H321)</f>
        <v/>
      </c>
      <c r="K321">
        <f>_xlfn.IFS(
J321&lt;=0.55,"50~55",
J321&lt;=0.6,"55~60",
J321&lt;=0.65,"60~65",
J321&lt;=0.7,"65~70",
TRUE,"70~100"
)</f>
        <v/>
      </c>
      <c r="L321">
        <f>IF(H321&gt;=0.5,"HOME","AWAY")</f>
        <v/>
      </c>
      <c r="M321">
        <f>IF(AND(N321&lt;&gt;"", OR(N321=0, N321=1)), (J321-N321)^2, "")</f>
        <v/>
      </c>
      <c r="N321" t="n">
        <v>0</v>
      </c>
      <c r="O321">
        <f>IF(AND(N321&lt;&gt;"", OR(N321=0, N321=1)), IF(ROUND(H321,0)=N321, 1, 0), "")</f>
        <v/>
      </c>
    </row>
    <row r="322">
      <c r="A322" t="n">
        <v>20260367</v>
      </c>
      <c r="B322" t="inlineStr">
        <is>
          <t>2026-06-21</t>
        </is>
      </c>
      <c r="C322" t="inlineStr">
        <is>
          <t>키움</t>
        </is>
      </c>
      <c r="D322" t="inlineStr">
        <is>
          <t>롯데</t>
        </is>
      </c>
      <c r="E322" t="n">
        <v>10001</v>
      </c>
      <c r="F322" t="n">
        <v>3001</v>
      </c>
      <c r="G322" t="n">
        <v>46.69</v>
      </c>
      <c r="H322" t="n">
        <v>0.4669072809999186</v>
      </c>
      <c r="I322" t="inlineStr">
        <is>
          <t>elo_sp</t>
        </is>
      </c>
      <c r="J322">
        <f>MAX(H322,1-H322)</f>
        <v/>
      </c>
      <c r="K322">
        <f>_xlfn.IFS(
J322&lt;=0.55,"50~55",
J322&lt;=0.6,"55~60",
J322&lt;=0.65,"60~65",
J322&lt;=0.7,"65~70",
TRUE,"70~100"
)</f>
        <v/>
      </c>
      <c r="L322">
        <f>IF(H322&gt;=0.5,"HOME","AWAY")</f>
        <v/>
      </c>
      <c r="M322">
        <f>IF(AND(N322&lt;&gt;"", OR(N322=0, N322=1)), (J322-N322)^2, "")</f>
        <v/>
      </c>
      <c r="N322" t="n">
        <v>0</v>
      </c>
      <c r="O322">
        <f>IF(AND(N322&lt;&gt;"", OR(N322=0, N322=1)), IF(ROUND(H322,0)=N322, 1, 0), "")</f>
        <v/>
      </c>
    </row>
    <row r="323">
      <c r="A323" t="n">
        <v>20260366</v>
      </c>
      <c r="B323" t="inlineStr">
        <is>
          <t>2026-06-21</t>
        </is>
      </c>
      <c r="C323" t="inlineStr">
        <is>
          <t>LG</t>
        </is>
      </c>
      <c r="D323" t="inlineStr">
        <is>
          <t>두산</t>
        </is>
      </c>
      <c r="E323" t="n">
        <v>5002</v>
      </c>
      <c r="F323" t="n">
        <v>6002</v>
      </c>
      <c r="G323" t="n">
        <v>53.05</v>
      </c>
      <c r="H323" t="n">
        <v>0.530508525219518</v>
      </c>
      <c r="I323" t="inlineStr">
        <is>
          <t>elo_sp</t>
        </is>
      </c>
      <c r="J323">
        <f>MAX(H323,1-H323)</f>
        <v/>
      </c>
      <c r="K323">
        <f>_xlfn.IFS(
J323&lt;=0.55,"50~55",
J323&lt;=0.6,"55~60",
J323&lt;=0.65,"60~65",
J323&lt;=0.7,"65~70",
TRUE,"70~100"
)</f>
        <v/>
      </c>
      <c r="L323">
        <f>IF(H323&gt;=0.5,"HOME","AWAY")</f>
        <v/>
      </c>
      <c r="M323">
        <f>IF(AND(N323&lt;&gt;"", OR(N323=0, N323=1)), (J323-N323)^2, "")</f>
        <v/>
      </c>
      <c r="N323" t="n">
        <v>1</v>
      </c>
      <c r="O323">
        <f>IF(AND(N323&lt;&gt;"", OR(N323=0, N323=1)), IF(ROUND(H323,0)=N323, 1, 0), "")</f>
        <v/>
      </c>
    </row>
    <row r="324">
      <c r="A324" t="n">
        <v>20260368</v>
      </c>
      <c r="B324" t="inlineStr">
        <is>
          <t>2026-06-21</t>
        </is>
      </c>
      <c r="C324" t="inlineStr">
        <is>
          <t>KT</t>
        </is>
      </c>
      <c r="D324" t="inlineStr">
        <is>
          <t>KIA</t>
        </is>
      </c>
      <c r="E324" t="n">
        <v>12001</v>
      </c>
      <c r="F324" t="n">
        <v>2002</v>
      </c>
      <c r="G324" t="n">
        <v>60.15</v>
      </c>
      <c r="H324" t="n">
        <v>0.6015307380512833</v>
      </c>
      <c r="I324" t="inlineStr">
        <is>
          <t>elo_sp</t>
        </is>
      </c>
      <c r="J324">
        <f>MAX(H324,1-H324)</f>
        <v/>
      </c>
      <c r="K324">
        <f>_xlfn.IFS(
J324&lt;=0.55,"50~55",
J324&lt;=0.6,"55~60",
J324&lt;=0.65,"60~65",
J324&lt;=0.7,"65~70",
TRUE,"70~100"
)</f>
        <v/>
      </c>
      <c r="L324">
        <f>IF(H324&gt;=0.5,"HOME","AWAY")</f>
        <v/>
      </c>
      <c r="M324">
        <f>IF(AND(N324&lt;&gt;"", OR(N324=0, N324=1)), (J324-N324)^2, "")</f>
        <v/>
      </c>
      <c r="N324" t="n">
        <v>0</v>
      </c>
      <c r="O324">
        <f>IF(AND(N324&lt;&gt;"", OR(N324=0, N324=1)), IF(ROUND(H324,0)=N324, 1, 0), "")</f>
        <v/>
      </c>
    </row>
    <row r="325">
      <c r="A325" t="n">
        <v>20260369</v>
      </c>
      <c r="B325" t="inlineStr">
        <is>
          <t>2026-06-21</t>
        </is>
      </c>
      <c r="C325" t="inlineStr">
        <is>
          <t>한화</t>
        </is>
      </c>
      <c r="D325" t="inlineStr">
        <is>
          <t>삼성</t>
        </is>
      </c>
      <c r="E325" t="n">
        <v>7002</v>
      </c>
      <c r="F325" t="n">
        <v>1001</v>
      </c>
      <c r="G325" t="n">
        <v>49.63</v>
      </c>
      <c r="H325" t="n">
        <v>0.496258769446372</v>
      </c>
      <c r="I325" t="inlineStr">
        <is>
          <t>elo_sp</t>
        </is>
      </c>
      <c r="J325">
        <f>MAX(H325,1-H325)</f>
        <v/>
      </c>
      <c r="K325">
        <f>_xlfn.IFS(
J325&lt;=0.55,"50~55",
J325&lt;=0.6,"55~60",
J325&lt;=0.65,"60~65",
J325&lt;=0.7,"65~70",
TRUE,"70~100"
)</f>
        <v/>
      </c>
      <c r="L325">
        <f>IF(H325&gt;=0.5,"HOME","AWAY")</f>
        <v/>
      </c>
      <c r="M325">
        <f>IF(AND(N325&lt;&gt;"", OR(N325=0, N325=1)), (J325-N325)^2, "")</f>
        <v/>
      </c>
      <c r="N325" t="n">
        <v>0</v>
      </c>
      <c r="O325">
        <f>IF(AND(N325&lt;&gt;"", OR(N325=0, N325=1)), IF(ROUND(H325,0)=N325, 1, 0), "")</f>
        <v/>
      </c>
    </row>
    <row r="326">
      <c r="A326" t="n">
        <v>20260370</v>
      </c>
      <c r="B326" t="inlineStr">
        <is>
          <t>2026-06-21</t>
        </is>
      </c>
      <c r="C326" t="inlineStr">
        <is>
          <t>NC</t>
        </is>
      </c>
      <c r="D326" t="inlineStr">
        <is>
          <t>SSG</t>
        </is>
      </c>
      <c r="E326" t="n">
        <v>11001</v>
      </c>
      <c r="F326" t="n">
        <v>9002</v>
      </c>
      <c r="G326" t="n">
        <v>56.9</v>
      </c>
      <c r="H326" t="n">
        <v>0.56896134798613</v>
      </c>
      <c r="I326" t="inlineStr">
        <is>
          <t>elo_sp</t>
        </is>
      </c>
      <c r="J326">
        <f>MAX(H326,1-H326)</f>
        <v/>
      </c>
      <c r="K326">
        <f>_xlfn.IFS(
J326&lt;=0.55,"50~55",
J326&lt;=0.6,"55~60",
J326&lt;=0.65,"60~65",
J326&lt;=0.7,"65~70",
TRUE,"70~100"
)</f>
        <v/>
      </c>
      <c r="L326">
        <f>IF(H326&gt;=0.5,"HOME","AWAY")</f>
        <v/>
      </c>
      <c r="M326">
        <f>IF(AND(N326&lt;&gt;"", OR(N326=0, N326=1)), (J326-N326)^2, "")</f>
        <v/>
      </c>
      <c r="N326" t="n">
        <v>0</v>
      </c>
      <c r="O326">
        <f>IF(AND(N326&lt;&gt;"", OR(N326=0, N326=1)), IF(ROUND(H326,0)=N326, 1, 0), "")</f>
        <v/>
      </c>
    </row>
    <row r="327">
      <c r="A327" t="n">
        <v>20260371</v>
      </c>
      <c r="B327" t="inlineStr">
        <is>
          <t>2026-06-23</t>
        </is>
      </c>
      <c r="C327" t="inlineStr">
        <is>
          <t>LG</t>
        </is>
      </c>
      <c r="D327" t="inlineStr">
        <is>
          <t>삼성</t>
        </is>
      </c>
      <c r="E327" t="n">
        <v>5002</v>
      </c>
      <c r="F327" t="n">
        <v>1001</v>
      </c>
      <c r="G327" t="n">
        <v>45.54</v>
      </c>
      <c r="H327" t="n">
        <v>0.4553958703445046</v>
      </c>
      <c r="I327" t="inlineStr">
        <is>
          <t>elo_sp</t>
        </is>
      </c>
      <c r="J327">
        <f>MAX(H327,1-H327)</f>
        <v/>
      </c>
      <c r="K327">
        <f>_xlfn.IFS(
J327&lt;=0.55,"50~55",
J327&lt;=0.6,"55~60",
J327&lt;=0.65,"60~65",
J327&lt;=0.7,"65~70",
TRUE,"70~100"
)</f>
        <v/>
      </c>
      <c r="L327">
        <f>IF(H327&gt;=0.5,"HOME","AWAY")</f>
        <v/>
      </c>
      <c r="M327">
        <f>IF(AND(N327&lt;&gt;"", OR(N327=0, N327=1)), (J327-N327)^2, "")</f>
        <v/>
      </c>
      <c r="N327" t="n">
        <v>1</v>
      </c>
      <c r="O327">
        <f>IF(AND(N327&lt;&gt;"", OR(N327=0, N327=1)), IF(ROUND(H327,0)=N327, 1, 0), "")</f>
        <v/>
      </c>
    </row>
    <row r="328">
      <c r="A328" t="n">
        <v>20260372</v>
      </c>
      <c r="B328" t="inlineStr">
        <is>
          <t>2026-06-23</t>
        </is>
      </c>
      <c r="C328" t="inlineStr">
        <is>
          <t>키움</t>
        </is>
      </c>
      <c r="D328" t="inlineStr">
        <is>
          <t>KIA</t>
        </is>
      </c>
      <c r="E328" t="n">
        <v>10001</v>
      </c>
      <c r="F328" t="n">
        <v>2002</v>
      </c>
      <c r="G328" t="n">
        <v>40.16</v>
      </c>
      <c r="H328" t="n">
        <v>0.401562924907686</v>
      </c>
      <c r="I328" t="inlineStr">
        <is>
          <t>elo_sp</t>
        </is>
      </c>
      <c r="J328">
        <f>MAX(H328,1-H328)</f>
        <v/>
      </c>
      <c r="K328">
        <f>_xlfn.IFS(
J328&lt;=0.55,"50~55",
J328&lt;=0.6,"55~60",
J328&lt;=0.65,"60~65",
J328&lt;=0.7,"65~70",
TRUE,"70~100"
)</f>
        <v/>
      </c>
      <c r="L328">
        <f>IF(H328&gt;=0.5,"HOME","AWAY")</f>
        <v/>
      </c>
      <c r="M328">
        <f>IF(AND(N328&lt;&gt;"", OR(N328=0, N328=1)), (J328-N328)^2, "")</f>
        <v/>
      </c>
      <c r="N328" t="n">
        <v>0</v>
      </c>
      <c r="O328">
        <f>IF(AND(N328&lt;&gt;"", OR(N328=0, N328=1)), IF(ROUND(H328,0)=N328, 1, 0), "")</f>
        <v/>
      </c>
    </row>
    <row r="329">
      <c r="A329" t="n">
        <v>20260373</v>
      </c>
      <c r="B329" t="inlineStr">
        <is>
          <t>2026-06-23</t>
        </is>
      </c>
      <c r="C329" t="inlineStr">
        <is>
          <t>KT</t>
        </is>
      </c>
      <c r="D329" t="inlineStr">
        <is>
          <t>SSG</t>
        </is>
      </c>
      <c r="E329" t="n">
        <v>12001</v>
      </c>
      <c r="F329" t="n">
        <v>9002</v>
      </c>
      <c r="G329" t="n">
        <v>66.33</v>
      </c>
      <c r="H329" t="n">
        <v>0.6632927915812221</v>
      </c>
      <c r="I329" t="inlineStr">
        <is>
          <t>elo_sp</t>
        </is>
      </c>
      <c r="J329">
        <f>MAX(H329,1-H329)</f>
        <v/>
      </c>
      <c r="K329">
        <f>_xlfn.IFS(
J329&lt;=0.55,"50~55",
J329&lt;=0.6,"55~60",
J329&lt;=0.65,"60~65",
J329&lt;=0.7,"65~70",
TRUE,"70~100"
)</f>
        <v/>
      </c>
      <c r="L329">
        <f>IF(H329&gt;=0.5,"HOME","AWAY")</f>
        <v/>
      </c>
      <c r="M329">
        <f>IF(AND(N329&lt;&gt;"", OR(N329=0, N329=1)), (J329-N329)^2, "")</f>
        <v/>
      </c>
      <c r="N329" t="n">
        <v>1</v>
      </c>
      <c r="O329">
        <f>IF(AND(N329&lt;&gt;"", OR(N329=0, N329=1)), IF(ROUND(H329,0)=N329, 1, 0), "")</f>
        <v/>
      </c>
    </row>
    <row r="330">
      <c r="A330" t="n">
        <v>20260374</v>
      </c>
      <c r="B330" t="inlineStr">
        <is>
          <t>2026-06-23</t>
        </is>
      </c>
      <c r="C330" t="inlineStr">
        <is>
          <t>한화</t>
        </is>
      </c>
      <c r="D330" t="inlineStr">
        <is>
          <t>두산</t>
        </is>
      </c>
      <c r="E330" t="n">
        <v>7002</v>
      </c>
      <c r="F330" t="n">
        <v>6002</v>
      </c>
      <c r="G330" t="n">
        <v>82.13</v>
      </c>
      <c r="H330" t="n">
        <v>0.8212610118850119</v>
      </c>
      <c r="I330" t="inlineStr">
        <is>
          <t>elo_sp</t>
        </is>
      </c>
      <c r="J330">
        <f>MAX(H330,1-H330)</f>
        <v/>
      </c>
      <c r="K330">
        <f>_xlfn.IFS(
J330&lt;=0.55,"50~55",
J330&lt;=0.6,"55~60",
J330&lt;=0.65,"60~65",
J330&lt;=0.7,"65~70",
TRUE,"70~100"
)</f>
        <v/>
      </c>
      <c r="L330">
        <f>IF(H330&gt;=0.5,"HOME","AWAY")</f>
        <v/>
      </c>
      <c r="M330">
        <f>IF(AND(N330&lt;&gt;"", OR(N330=0, N330=1)), (J330-N330)^2, "")</f>
        <v/>
      </c>
      <c r="N330" t="n">
        <v>1</v>
      </c>
      <c r="O330">
        <f>IF(AND(N330&lt;&gt;"", OR(N330=0, N330=1)), IF(ROUND(H330,0)=N330, 1, 0), "")</f>
        <v/>
      </c>
    </row>
    <row r="331">
      <c r="A331" t="n">
        <v>20260375</v>
      </c>
      <c r="B331" t="inlineStr">
        <is>
          <t>2026-06-23</t>
        </is>
      </c>
      <c r="C331" t="inlineStr">
        <is>
          <t>롯데</t>
        </is>
      </c>
      <c r="D331" t="inlineStr">
        <is>
          <t>NC</t>
        </is>
      </c>
      <c r="E331" t="n">
        <v>3001</v>
      </c>
      <c r="F331" t="n">
        <v>11001</v>
      </c>
      <c r="G331" t="n">
        <v>39.23</v>
      </c>
      <c r="H331" t="n">
        <v>0.392278922212418</v>
      </c>
      <c r="I331" t="inlineStr">
        <is>
          <t>elo_sp</t>
        </is>
      </c>
      <c r="J331">
        <f>MAX(H331,1-H331)</f>
        <v/>
      </c>
      <c r="K331">
        <f>_xlfn.IFS(
J331&lt;=0.55,"50~55",
J331&lt;=0.6,"55~60",
J331&lt;=0.65,"60~65",
J331&lt;=0.7,"65~70",
TRUE,"70~100"
)</f>
        <v/>
      </c>
      <c r="L331">
        <f>IF(H331&gt;=0.5,"HOME","AWAY")</f>
        <v/>
      </c>
      <c r="M331">
        <f>IF(AND(N331&lt;&gt;"", OR(N331=0, N331=1)), (J331-N331)^2, "")</f>
        <v/>
      </c>
      <c r="N331" t="n">
        <v>1</v>
      </c>
      <c r="O331">
        <f>IF(AND(N331&lt;&gt;"", OR(N331=0, N331=1)), IF(ROUND(H331,0)=N331, 1, 0), "")</f>
        <v/>
      </c>
    </row>
    <row r="332">
      <c r="A332" t="n">
        <v>20260376</v>
      </c>
      <c r="B332" t="inlineStr">
        <is>
          <t>2026-06-24</t>
        </is>
      </c>
      <c r="C332" t="inlineStr">
        <is>
          <t>LG</t>
        </is>
      </c>
      <c r="D332" t="inlineStr">
        <is>
          <t>삼성</t>
        </is>
      </c>
      <c r="E332" t="n">
        <v>5002</v>
      </c>
      <c r="F332" t="n">
        <v>1001</v>
      </c>
      <c r="G332" t="n">
        <v>46.9</v>
      </c>
      <c r="H332" t="n">
        <v>0.4689767841454398</v>
      </c>
      <c r="I332" t="inlineStr">
        <is>
          <t>elo_sp</t>
        </is>
      </c>
      <c r="J332">
        <f>MAX(H332,1-H332)</f>
        <v/>
      </c>
      <c r="K332">
        <f>_xlfn.IFS(
J332&lt;=0.55,"50~55",
J332&lt;=0.6,"55~60",
J332&lt;=0.65,"60~65",
J332&lt;=0.7,"65~70",
TRUE,"70~100"
)</f>
        <v/>
      </c>
      <c r="L332">
        <f>IF(H332&gt;=0.5,"HOME","AWAY")</f>
        <v/>
      </c>
      <c r="M332">
        <f>IF(AND(N332&lt;&gt;"", OR(N332=0, N332=1)), (J332-N332)^2, "")</f>
        <v/>
      </c>
      <c r="N332" t="n">
        <v>1</v>
      </c>
      <c r="O332">
        <f>IF(AND(N332&lt;&gt;"", OR(N332=0, N332=1)), IF(ROUND(H332,0)=N332, 1, 0), "")</f>
        <v/>
      </c>
    </row>
    <row r="333">
      <c r="A333" t="n">
        <v>20260377</v>
      </c>
      <c r="B333" t="inlineStr">
        <is>
          <t>2026-06-24</t>
        </is>
      </c>
      <c r="C333" t="inlineStr">
        <is>
          <t>키움</t>
        </is>
      </c>
      <c r="D333" t="inlineStr">
        <is>
          <t>KIA</t>
        </is>
      </c>
      <c r="E333" t="n">
        <v>10001</v>
      </c>
      <c r="F333" t="n">
        <v>2002</v>
      </c>
      <c r="G333" t="n">
        <v>66.29000000000001</v>
      </c>
      <c r="H333" t="n">
        <v>0.6628916392130856</v>
      </c>
      <c r="I333" t="inlineStr">
        <is>
          <t>elo_sp</t>
        </is>
      </c>
      <c r="J333">
        <f>MAX(H333,1-H333)</f>
        <v/>
      </c>
      <c r="K333">
        <f>_xlfn.IFS(
J333&lt;=0.55,"50~55",
J333&lt;=0.6,"55~60",
J333&lt;=0.65,"60~65",
J333&lt;=0.7,"65~70",
TRUE,"70~100"
)</f>
        <v/>
      </c>
      <c r="L333">
        <f>IF(H333&gt;=0.5,"HOME","AWAY")</f>
        <v/>
      </c>
      <c r="M333">
        <f>IF(AND(N333&lt;&gt;"", OR(N333=0, N333=1)), (J333-N333)^2, "")</f>
        <v/>
      </c>
      <c r="N333" t="n">
        <v>0</v>
      </c>
      <c r="O333">
        <f>IF(AND(N333&lt;&gt;"", OR(N333=0, N333=1)), IF(ROUND(H333,0)=N333, 1, 0), "")</f>
        <v/>
      </c>
    </row>
    <row r="334">
      <c r="A334" t="n">
        <v>20260378</v>
      </c>
      <c r="B334" t="inlineStr">
        <is>
          <t>2026-06-24</t>
        </is>
      </c>
      <c r="C334" t="inlineStr">
        <is>
          <t>KT</t>
        </is>
      </c>
      <c r="D334" t="inlineStr">
        <is>
          <t>SSG</t>
        </is>
      </c>
      <c r="E334" t="n">
        <v>12001</v>
      </c>
      <c r="F334" t="n">
        <v>9002</v>
      </c>
      <c r="G334" t="n">
        <v>63.5</v>
      </c>
      <c r="H334" t="n">
        <v>0.6349878062866734</v>
      </c>
      <c r="I334" t="inlineStr">
        <is>
          <t>elo_sp</t>
        </is>
      </c>
      <c r="J334">
        <f>MAX(H334,1-H334)</f>
        <v/>
      </c>
      <c r="K334">
        <f>_xlfn.IFS(
J334&lt;=0.55,"50~55",
J334&lt;=0.6,"55~60",
J334&lt;=0.65,"60~65",
J334&lt;=0.7,"65~70",
TRUE,"70~100"
)</f>
        <v/>
      </c>
      <c r="L334">
        <f>IF(H334&gt;=0.5,"HOME","AWAY")</f>
        <v/>
      </c>
      <c r="M334">
        <f>IF(AND(N334&lt;&gt;"", OR(N334=0, N334=1)), (J334-N334)^2, "")</f>
        <v/>
      </c>
      <c r="N334" t="n">
        <v>0</v>
      </c>
      <c r="O334">
        <f>IF(AND(N334&lt;&gt;"", OR(N334=0, N334=1)), IF(ROUND(H334,0)=N334, 1, 0), "")</f>
        <v/>
      </c>
    </row>
    <row r="335">
      <c r="A335" t="n">
        <v>20260379</v>
      </c>
      <c r="B335" t="inlineStr">
        <is>
          <t>2026-06-24</t>
        </is>
      </c>
      <c r="C335" t="inlineStr">
        <is>
          <t>한화</t>
        </is>
      </c>
      <c r="D335" t="inlineStr">
        <is>
          <t>두산</t>
        </is>
      </c>
      <c r="E335" t="n">
        <v>7002</v>
      </c>
      <c r="F335" t="n">
        <v>6002</v>
      </c>
      <c r="G335" t="n">
        <v>42.19</v>
      </c>
      <c r="H335" t="n">
        <v>0.4218915319733813</v>
      </c>
      <c r="I335" t="inlineStr">
        <is>
          <t>elo_sp</t>
        </is>
      </c>
      <c r="J335">
        <f>MAX(H335,1-H335)</f>
        <v/>
      </c>
      <c r="K335">
        <f>_xlfn.IFS(
J335&lt;=0.55,"50~55",
J335&lt;=0.6,"55~60",
J335&lt;=0.65,"60~65",
J335&lt;=0.7,"65~70",
TRUE,"70~100"
)</f>
        <v/>
      </c>
      <c r="L335">
        <f>IF(H335&gt;=0.5,"HOME","AWAY")</f>
        <v/>
      </c>
      <c r="M335">
        <f>IF(AND(N335&lt;&gt;"", OR(N335=0, N335=1)), (J335-N335)^2, "")</f>
        <v/>
      </c>
      <c r="N335" t="n">
        <v>0</v>
      </c>
      <c r="O335">
        <f>IF(AND(N335&lt;&gt;"", OR(N335=0, N335=1)), IF(ROUND(H335,0)=N335, 1, 0), "")</f>
        <v/>
      </c>
    </row>
    <row r="336">
      <c r="A336" t="n">
        <v>20260380</v>
      </c>
      <c r="B336" t="inlineStr">
        <is>
          <t>2026-06-24</t>
        </is>
      </c>
      <c r="C336" t="inlineStr">
        <is>
          <t>롯데</t>
        </is>
      </c>
      <c r="D336" t="inlineStr">
        <is>
          <t>NC</t>
        </is>
      </c>
      <c r="E336" t="n">
        <v>3001</v>
      </c>
      <c r="F336" t="n">
        <v>11001</v>
      </c>
      <c r="G336" t="n">
        <v>58.02</v>
      </c>
      <c r="H336" t="n">
        <v>0.5801756654713783</v>
      </c>
      <c r="I336" t="inlineStr">
        <is>
          <t>elo_sp</t>
        </is>
      </c>
      <c r="J336">
        <f>MAX(H336,1-H336)</f>
        <v/>
      </c>
      <c r="K336">
        <f>_xlfn.IFS(
J336&lt;=0.55,"50~55",
J336&lt;=0.6,"55~60",
J336&lt;=0.65,"60~65",
J336&lt;=0.7,"65~70",
TRUE,"70~100"
)</f>
        <v/>
      </c>
      <c r="L336">
        <f>IF(H336&gt;=0.5,"HOME","AWAY")</f>
        <v/>
      </c>
      <c r="M336">
        <f>IF(AND(N336&lt;&gt;"", OR(N336=0, N336=1)), (J336-N336)^2, "")</f>
        <v/>
      </c>
      <c r="N336" t="n">
        <v>1</v>
      </c>
      <c r="O336">
        <f>IF(AND(N336&lt;&gt;"", OR(N336=0, N336=1)), IF(ROUND(H336,0)=N336, 1, 0), "")</f>
        <v/>
      </c>
    </row>
    <row r="337">
      <c r="A337" t="n">
        <v>20260381</v>
      </c>
      <c r="B337" t="inlineStr">
        <is>
          <t>2026-06-25</t>
        </is>
      </c>
      <c r="C337" t="inlineStr">
        <is>
          <t>LG</t>
        </is>
      </c>
      <c r="D337" t="inlineStr">
        <is>
          <t>삼성</t>
        </is>
      </c>
      <c r="E337" t="n">
        <v>5002</v>
      </c>
      <c r="F337" t="n">
        <v>1001</v>
      </c>
      <c r="G337" t="n">
        <v>36.55</v>
      </c>
      <c r="H337" t="n">
        <v>0.3655379379463268</v>
      </c>
      <c r="I337" t="inlineStr">
        <is>
          <t>elo_sp</t>
        </is>
      </c>
      <c r="J337">
        <f>MAX(H337,1-H337)</f>
        <v/>
      </c>
      <c r="K337">
        <f>_xlfn.IFS(
J337&lt;=0.55,"50~55",
J337&lt;=0.6,"55~60",
J337&lt;=0.65,"60~65",
J337&lt;=0.7,"65~70",
TRUE,"70~100"
)</f>
        <v/>
      </c>
      <c r="L337">
        <f>IF(H337&gt;=0.5,"HOME","AWAY")</f>
        <v/>
      </c>
      <c r="M337">
        <f>IF(AND(N337&lt;&gt;"", OR(N337=0, N337=1)), (J337-N337)^2, "")</f>
        <v/>
      </c>
      <c r="N337" t="n">
        <v>0</v>
      </c>
      <c r="O337">
        <f>IF(AND(N337&lt;&gt;"", OR(N337=0, N337=1)), IF(ROUND(H337,0)=N337, 1, 0), "")</f>
        <v/>
      </c>
    </row>
    <row r="338">
      <c r="A338" t="n">
        <v>20260382</v>
      </c>
      <c r="B338" t="inlineStr">
        <is>
          <t>2026-06-25</t>
        </is>
      </c>
      <c r="C338" t="inlineStr">
        <is>
          <t>키움</t>
        </is>
      </c>
      <c r="D338" t="inlineStr">
        <is>
          <t>KIA</t>
        </is>
      </c>
      <c r="E338" t="n">
        <v>10001</v>
      </c>
      <c r="F338" t="n">
        <v>2002</v>
      </c>
      <c r="G338" t="n">
        <v>50</v>
      </c>
      <c r="H338" t="n">
        <v>0.5000081756826891</v>
      </c>
      <c r="I338" t="inlineStr">
        <is>
          <t>elo_sp</t>
        </is>
      </c>
      <c r="J338">
        <f>MAX(H338,1-H338)</f>
        <v/>
      </c>
      <c r="K338">
        <f>_xlfn.IFS(
J338&lt;=0.55,"50~55",
J338&lt;=0.6,"55~60",
J338&lt;=0.65,"60~65",
J338&lt;=0.7,"65~70",
TRUE,"70~100"
)</f>
        <v/>
      </c>
      <c r="L338">
        <f>IF(H338&gt;=0.5,"HOME","AWAY")</f>
        <v/>
      </c>
      <c r="M338">
        <f>IF(AND(N338&lt;&gt;"", OR(N338=0, N338=1)), (J338-N338)^2, "")</f>
        <v/>
      </c>
      <c r="N338" t="n">
        <v>0</v>
      </c>
      <c r="O338">
        <f>IF(AND(N338&lt;&gt;"", OR(N338=0, N338=1)), IF(ROUND(H338,0)=N338, 1, 0), "")</f>
        <v/>
      </c>
    </row>
    <row r="339">
      <c r="A339" t="n">
        <v>20260383</v>
      </c>
      <c r="B339" t="inlineStr">
        <is>
          <t>2026-06-25</t>
        </is>
      </c>
      <c r="C339" t="inlineStr">
        <is>
          <t>KT</t>
        </is>
      </c>
      <c r="D339" t="inlineStr">
        <is>
          <t>SSG</t>
        </is>
      </c>
      <c r="E339" t="n">
        <v>12001</v>
      </c>
      <c r="F339" t="n">
        <v>9002</v>
      </c>
      <c r="G339" t="n">
        <v>68.01000000000001</v>
      </c>
      <c r="H339" t="n">
        <v>0.6801026396734091</v>
      </c>
      <c r="I339" t="inlineStr">
        <is>
          <t>elo_sp</t>
        </is>
      </c>
      <c r="J339">
        <f>MAX(H339,1-H339)</f>
        <v/>
      </c>
      <c r="K339">
        <f>_xlfn.IFS(
J339&lt;=0.55,"50~55",
J339&lt;=0.6,"55~60",
J339&lt;=0.65,"60~65",
J339&lt;=0.7,"65~70",
TRUE,"70~100"
)</f>
        <v/>
      </c>
      <c r="L339">
        <f>IF(H339&gt;=0.5,"HOME","AWAY")</f>
        <v/>
      </c>
      <c r="M339">
        <f>IF(AND(N339&lt;&gt;"", OR(N339=0, N339=1)), (J339-N339)^2, "")</f>
        <v/>
      </c>
      <c r="N339" t="n">
        <v>1</v>
      </c>
      <c r="O339">
        <f>IF(AND(N339&lt;&gt;"", OR(N339=0, N339=1)), IF(ROUND(H339,0)=N339, 1, 0), "")</f>
        <v/>
      </c>
    </row>
    <row r="340">
      <c r="A340" t="n">
        <v>20260384</v>
      </c>
      <c r="B340" t="inlineStr">
        <is>
          <t>2026-06-25</t>
        </is>
      </c>
      <c r="C340" t="inlineStr">
        <is>
          <t>한화</t>
        </is>
      </c>
      <c r="D340" t="inlineStr">
        <is>
          <t>두산</t>
        </is>
      </c>
      <c r="E340" t="n">
        <v>7002</v>
      </c>
      <c r="F340" t="n">
        <v>6002</v>
      </c>
      <c r="G340" t="n">
        <v>34.9</v>
      </c>
      <c r="H340" t="n">
        <v>0.3489889809792098</v>
      </c>
      <c r="I340" t="inlineStr">
        <is>
          <t>elo_sp</t>
        </is>
      </c>
      <c r="J340">
        <f>MAX(H340,1-H340)</f>
        <v/>
      </c>
      <c r="K340">
        <f>_xlfn.IFS(
J340&lt;=0.55,"50~55",
J340&lt;=0.6,"55~60",
J340&lt;=0.65,"60~65",
J340&lt;=0.7,"65~70",
TRUE,"70~100"
)</f>
        <v/>
      </c>
      <c r="L340">
        <f>IF(H340&gt;=0.5,"HOME","AWAY")</f>
        <v/>
      </c>
      <c r="M340">
        <f>IF(AND(N340&lt;&gt;"", OR(N340=0, N340=1)), (J340-N340)^2, "")</f>
        <v/>
      </c>
      <c r="N340" t="n">
        <v>0</v>
      </c>
      <c r="O340">
        <f>IF(AND(N340&lt;&gt;"", OR(N340=0, N340=1)), IF(ROUND(H340,0)=N340, 1, 0), "")</f>
        <v/>
      </c>
    </row>
    <row r="341">
      <c r="A341" t="n">
        <v>20260385</v>
      </c>
      <c r="B341" t="inlineStr">
        <is>
          <t>2026-06-25</t>
        </is>
      </c>
      <c r="C341" t="inlineStr">
        <is>
          <t>롯데</t>
        </is>
      </c>
      <c r="D341" t="inlineStr">
        <is>
          <t>NC</t>
        </is>
      </c>
      <c r="E341" t="n">
        <v>3001</v>
      </c>
      <c r="F341" t="n">
        <v>11001</v>
      </c>
      <c r="G341" t="n">
        <v>52.13</v>
      </c>
      <c r="H341" t="n">
        <v>0.5212518192595811</v>
      </c>
      <c r="I341" t="inlineStr">
        <is>
          <t>elo_sp</t>
        </is>
      </c>
      <c r="J341">
        <f>MAX(H341,1-H341)</f>
        <v/>
      </c>
      <c r="K341">
        <f>_xlfn.IFS(
J341&lt;=0.55,"50~55",
J341&lt;=0.6,"55~60",
J341&lt;=0.65,"60~65",
J341&lt;=0.7,"65~70",
TRUE,"70~100"
)</f>
        <v/>
      </c>
      <c r="L341">
        <f>IF(H341&gt;=0.5,"HOME","AWAY")</f>
        <v/>
      </c>
      <c r="M341">
        <f>IF(AND(N341&lt;&gt;"", OR(N341=0, N341=1)), (J341-N341)^2, "")</f>
        <v/>
      </c>
      <c r="N341" t="n">
        <v>0</v>
      </c>
      <c r="O341">
        <f>IF(AND(N341&lt;&gt;"", OR(N341=0, N341=1)), IF(ROUND(H341,0)=N341, 1, 0), "")</f>
        <v/>
      </c>
    </row>
    <row r="342">
      <c r="A342" t="n">
        <v>20260386</v>
      </c>
      <c r="B342" t="inlineStr">
        <is>
          <t>2026-06-26</t>
        </is>
      </c>
      <c r="C342" t="inlineStr">
        <is>
          <t>두산</t>
        </is>
      </c>
      <c r="D342" t="inlineStr">
        <is>
          <t>KIA</t>
        </is>
      </c>
      <c r="E342" t="n">
        <v>6002</v>
      </c>
      <c r="F342" t="n">
        <v>2002</v>
      </c>
      <c r="G342" t="n">
        <v>60.81</v>
      </c>
      <c r="H342" t="n">
        <v>0.6081054919859112</v>
      </c>
      <c r="I342" t="inlineStr">
        <is>
          <t>elo_sp</t>
        </is>
      </c>
      <c r="J342">
        <f>MAX(H342,1-H342)</f>
        <v/>
      </c>
      <c r="K342">
        <f>_xlfn.IFS(
J342&lt;=0.55,"50~55",
J342&lt;=0.6,"55~60",
J342&lt;=0.65,"60~65",
J342&lt;=0.7,"65~70",
TRUE,"70~100"
)</f>
        <v/>
      </c>
      <c r="L342">
        <f>IF(H342&gt;=0.5,"HOME","AWAY")</f>
        <v/>
      </c>
      <c r="M342">
        <f>IF(AND(N342&lt;&gt;"", OR(N342=0, N342=1)), (J342-N342)^2, "")</f>
        <v/>
      </c>
      <c r="N342" t="n">
        <v>1</v>
      </c>
      <c r="O342">
        <f>IF(AND(N342&lt;&gt;"", OR(N342=0, N342=1)), IF(ROUND(H342,0)=N342, 1, 0), "")</f>
        <v/>
      </c>
    </row>
    <row r="343">
      <c r="A343" t="n">
        <v>20260387</v>
      </c>
      <c r="B343" t="inlineStr">
        <is>
          <t>2026-06-26</t>
        </is>
      </c>
      <c r="C343" t="inlineStr">
        <is>
          <t>SSG</t>
        </is>
      </c>
      <c r="D343" t="inlineStr">
        <is>
          <t>한화</t>
        </is>
      </c>
      <c r="E343" t="n">
        <v>9002</v>
      </c>
      <c r="F343" t="n">
        <v>7002</v>
      </c>
      <c r="G343" t="n">
        <v>46.47</v>
      </c>
      <c r="H343" t="n">
        <v>0.4646658054906409</v>
      </c>
      <c r="I343" t="inlineStr">
        <is>
          <t>elo_sp</t>
        </is>
      </c>
      <c r="J343">
        <f>MAX(H343,1-H343)</f>
        <v/>
      </c>
      <c r="K343">
        <f>_xlfn.IFS(
J343&lt;=0.55,"50~55",
J343&lt;=0.6,"55~60",
J343&lt;=0.65,"60~65",
J343&lt;=0.7,"65~70",
TRUE,"70~100"
)</f>
        <v/>
      </c>
      <c r="L343">
        <f>IF(H343&gt;=0.5,"HOME","AWAY")</f>
        <v/>
      </c>
      <c r="M343">
        <f>IF(AND(N343&lt;&gt;"", OR(N343=0, N343=1)), (J343-N343)^2, "")</f>
        <v/>
      </c>
      <c r="N343" t="n">
        <v>0</v>
      </c>
      <c r="O343">
        <f>IF(AND(N343&lt;&gt;"", OR(N343=0, N343=1)), IF(ROUND(H343,0)=N343, 1, 0), "")</f>
        <v/>
      </c>
    </row>
    <row r="344">
      <c r="A344" t="n">
        <v>20260388</v>
      </c>
      <c r="B344" t="inlineStr">
        <is>
          <t>2026-06-26</t>
        </is>
      </c>
      <c r="C344" t="inlineStr">
        <is>
          <t>삼성</t>
        </is>
      </c>
      <c r="D344" t="inlineStr">
        <is>
          <t>KT</t>
        </is>
      </c>
      <c r="E344" t="n">
        <v>1001</v>
      </c>
      <c r="F344" t="n">
        <v>12001</v>
      </c>
      <c r="G344" t="n">
        <v>44.66</v>
      </c>
      <c r="H344" t="n">
        <v>0.4465818778993318</v>
      </c>
      <c r="I344" t="inlineStr">
        <is>
          <t>elo_sp</t>
        </is>
      </c>
      <c r="J344">
        <f>MAX(H344,1-H344)</f>
        <v/>
      </c>
      <c r="K344">
        <f>_xlfn.IFS(
J344&lt;=0.55,"50~55",
J344&lt;=0.6,"55~60",
J344&lt;=0.65,"60~65",
J344&lt;=0.7,"65~70",
TRUE,"70~100"
)</f>
        <v/>
      </c>
      <c r="L344">
        <f>IF(H344&gt;=0.5,"HOME","AWAY")</f>
        <v/>
      </c>
      <c r="M344">
        <f>IF(AND(N344&lt;&gt;"", OR(N344=0, N344=1)), (J344-N344)^2, "")</f>
        <v/>
      </c>
      <c r="N344" t="n">
        <v>1</v>
      </c>
      <c r="O344">
        <f>IF(AND(N344&lt;&gt;"", OR(N344=0, N344=1)), IF(ROUND(H344,0)=N344, 1, 0), "")</f>
        <v/>
      </c>
    </row>
    <row r="345">
      <c r="A345" t="n">
        <v>20260389</v>
      </c>
      <c r="B345" t="inlineStr">
        <is>
          <t>2026-06-26</t>
        </is>
      </c>
      <c r="C345" t="inlineStr">
        <is>
          <t>롯데</t>
        </is>
      </c>
      <c r="D345" t="inlineStr">
        <is>
          <t>LG</t>
        </is>
      </c>
      <c r="E345" t="n">
        <v>3001</v>
      </c>
      <c r="F345" t="n">
        <v>5002</v>
      </c>
      <c r="G345" t="n">
        <v>45.96</v>
      </c>
      <c r="H345" t="n">
        <v>0.4596271305060565</v>
      </c>
      <c r="I345" t="inlineStr">
        <is>
          <t>elo_sp</t>
        </is>
      </c>
      <c r="J345">
        <f>MAX(H345,1-H345)</f>
        <v/>
      </c>
      <c r="K345">
        <f>_xlfn.IFS(
J345&lt;=0.55,"50~55",
J345&lt;=0.6,"55~60",
J345&lt;=0.65,"60~65",
J345&lt;=0.7,"65~70",
TRUE,"70~100"
)</f>
        <v/>
      </c>
      <c r="L345">
        <f>IF(H345&gt;=0.5,"HOME","AWAY")</f>
        <v/>
      </c>
      <c r="M345">
        <f>IF(AND(N345&lt;&gt;"", OR(N345=0, N345=1)), (J345-N345)^2, "")</f>
        <v/>
      </c>
      <c r="N345" t="n">
        <v>1</v>
      </c>
      <c r="O345">
        <f>IF(AND(N345&lt;&gt;"", OR(N345=0, N345=1)), IF(ROUND(H345,0)=N345, 1, 0), "")</f>
        <v/>
      </c>
    </row>
    <row r="346">
      <c r="A346" t="n">
        <v>20260390</v>
      </c>
      <c r="B346" t="inlineStr">
        <is>
          <t>2026-06-26</t>
        </is>
      </c>
      <c r="C346" t="inlineStr">
        <is>
          <t>NC</t>
        </is>
      </c>
      <c r="D346" t="inlineStr">
        <is>
          <t>키움</t>
        </is>
      </c>
      <c r="E346" t="n">
        <v>11001</v>
      </c>
      <c r="F346" t="n">
        <v>10001</v>
      </c>
      <c r="G346" t="n">
        <v>54.87</v>
      </c>
      <c r="H346" t="n">
        <v>0.5487214003838302</v>
      </c>
      <c r="I346" t="inlineStr">
        <is>
          <t>elo_sp</t>
        </is>
      </c>
      <c r="J346">
        <f>MAX(H346,1-H346)</f>
        <v/>
      </c>
      <c r="K346">
        <f>_xlfn.IFS(
J346&lt;=0.55,"50~55",
J346&lt;=0.6,"55~60",
J346&lt;=0.65,"60~65",
J346&lt;=0.7,"65~70",
TRUE,"70~100"
)</f>
        <v/>
      </c>
      <c r="L346">
        <f>IF(H346&gt;=0.5,"HOME","AWAY")</f>
        <v/>
      </c>
      <c r="M346">
        <f>IF(AND(N346&lt;&gt;"", OR(N346=0, N346=1)), (J346-N346)^2, "")</f>
        <v/>
      </c>
      <c r="N346" t="n">
        <v>1</v>
      </c>
      <c r="O346">
        <f>IF(AND(N346&lt;&gt;"", OR(N346=0, N346=1)), IF(ROUND(H346,0)=N346, 1, 0), "")</f>
        <v/>
      </c>
    </row>
    <row r="347">
      <c r="A347" t="n">
        <v>20260401</v>
      </c>
      <c r="B347" t="inlineStr">
        <is>
          <t>2026-06-30</t>
        </is>
      </c>
      <c r="C347" t="inlineStr">
        <is>
          <t>두산</t>
        </is>
      </c>
      <c r="D347" t="inlineStr">
        <is>
          <t>롯데</t>
        </is>
      </c>
      <c r="E347" t="n">
        <v>6002</v>
      </c>
      <c r="F347" t="n">
        <v>3001</v>
      </c>
      <c r="G347" t="n">
        <v>59.09</v>
      </c>
      <c r="H347" t="n">
        <v>0.5908539060832126</v>
      </c>
      <c r="I347" t="inlineStr">
        <is>
          <t>elo_sp</t>
        </is>
      </c>
      <c r="J347">
        <f>MAX(H347,1-H347)</f>
        <v/>
      </c>
      <c r="K347">
        <f>_xlfn.IFS(
J347&lt;=0.55,"50~55",
J347&lt;=0.6,"55~60",
J347&lt;=0.65,"60~65",
J347&lt;=0.7,"65~70",
TRUE,"70~100"
)</f>
        <v/>
      </c>
      <c r="L347">
        <f>IF(H347&gt;=0.5,"HOME","AWAY")</f>
        <v/>
      </c>
      <c r="M347">
        <f>IF(AND(N347&lt;&gt;"", OR(N347=0, N347=1)), (J347-N347)^2, "")</f>
        <v/>
      </c>
      <c r="N347" t="n">
        <v>1</v>
      </c>
      <c r="O347">
        <f>IF(AND(N347&lt;&gt;"", OR(N347=0, N347=1)), IF(ROUND(H347,0)=N347, 1, 0), "")</f>
        <v/>
      </c>
    </row>
    <row r="348">
      <c r="A348" t="n">
        <v>20260402</v>
      </c>
      <c r="B348" t="inlineStr">
        <is>
          <t>2026-06-30</t>
        </is>
      </c>
      <c r="C348" t="inlineStr">
        <is>
          <t>키움</t>
        </is>
      </c>
      <c r="D348" t="inlineStr">
        <is>
          <t>LG</t>
        </is>
      </c>
      <c r="E348" t="n">
        <v>10001</v>
      </c>
      <c r="F348" t="n">
        <v>5002</v>
      </c>
      <c r="G348" t="n">
        <v>55.26</v>
      </c>
      <c r="H348" t="n">
        <v>0.5526165513117942</v>
      </c>
      <c r="I348" t="inlineStr">
        <is>
          <t>elo_sp</t>
        </is>
      </c>
      <c r="J348">
        <f>MAX(H348,1-H348)</f>
        <v/>
      </c>
      <c r="K348">
        <f>_xlfn.IFS(
J348&lt;=0.55,"50~55",
J348&lt;=0.6,"55~60",
J348&lt;=0.65,"60~65",
J348&lt;=0.7,"65~70",
TRUE,"70~100"
)</f>
        <v/>
      </c>
      <c r="L348">
        <f>IF(H348&gt;=0.5,"HOME","AWAY")</f>
        <v/>
      </c>
      <c r="M348">
        <f>IF(AND(N348&lt;&gt;"", OR(N348=0, N348=1)), (J348-N348)^2, "")</f>
        <v/>
      </c>
      <c r="N348" t="n">
        <v>1</v>
      </c>
      <c r="O348">
        <f>IF(AND(N348&lt;&gt;"", OR(N348=0, N348=1)), IF(ROUND(H348,0)=N348, 1, 0), "")</f>
        <v/>
      </c>
    </row>
    <row r="349">
      <c r="A349" t="n">
        <v>20260403</v>
      </c>
      <c r="B349" t="inlineStr">
        <is>
          <t>2026-06-30</t>
        </is>
      </c>
      <c r="C349" t="inlineStr">
        <is>
          <t>한화</t>
        </is>
      </c>
      <c r="D349" t="inlineStr">
        <is>
          <t>KT</t>
        </is>
      </c>
      <c r="E349" t="n">
        <v>7002</v>
      </c>
      <c r="F349" t="n">
        <v>12001</v>
      </c>
      <c r="G349" t="n">
        <v>55.89</v>
      </c>
      <c r="H349" t="n">
        <v>0.5589171427660273</v>
      </c>
      <c r="I349" t="inlineStr">
        <is>
          <t>elo_sp</t>
        </is>
      </c>
      <c r="J349">
        <f>MAX(H349,1-H349)</f>
        <v/>
      </c>
      <c r="K349">
        <f>_xlfn.IFS(
J349&lt;=0.55,"50~55",
J349&lt;=0.6,"55~60",
J349&lt;=0.65,"60~65",
J349&lt;=0.7,"65~70",
TRUE,"70~100"
)</f>
        <v/>
      </c>
      <c r="L349">
        <f>IF(H349&gt;=0.5,"HOME","AWAY")</f>
        <v/>
      </c>
      <c r="M349">
        <f>IF(AND(N349&lt;&gt;"", OR(N349=0, N349=1)), (J349-N349)^2, "")</f>
        <v/>
      </c>
      <c r="N349" t="inlineStr">
        <is>
          <t>cancel</t>
        </is>
      </c>
      <c r="O349">
        <f>IF(AND(N349&lt;&gt;"", OR(N349=0, N349=1)), IF(ROUND(H349,0)=N349, 1, 0), "")</f>
        <v/>
      </c>
    </row>
    <row r="350">
      <c r="A350" t="n">
        <v>20260404</v>
      </c>
      <c r="B350" t="inlineStr">
        <is>
          <t>2026-06-30</t>
        </is>
      </c>
      <c r="C350" t="inlineStr">
        <is>
          <t>KIA</t>
        </is>
      </c>
      <c r="D350" t="inlineStr">
        <is>
          <t>SSG</t>
        </is>
      </c>
      <c r="E350" t="n">
        <v>2002</v>
      </c>
      <c r="F350" t="n">
        <v>9002</v>
      </c>
      <c r="G350" t="n">
        <v>75.5</v>
      </c>
      <c r="H350" t="n">
        <v>0.7550083514821617</v>
      </c>
      <c r="I350" t="inlineStr">
        <is>
          <t>elo_sp</t>
        </is>
      </c>
      <c r="J350">
        <f>MAX(H350,1-H350)</f>
        <v/>
      </c>
      <c r="K350">
        <f>_xlfn.IFS(
J350&lt;=0.55,"50~55",
J350&lt;=0.6,"55~60",
J350&lt;=0.65,"60~65",
J350&lt;=0.7,"65~70",
TRUE,"70~100"
)</f>
        <v/>
      </c>
      <c r="L350">
        <f>IF(H350&gt;=0.5,"HOME","AWAY")</f>
        <v/>
      </c>
      <c r="M350">
        <f>IF(AND(N350&lt;&gt;"", OR(N350=0, N350=1)), (J350-N350)^2, "")</f>
        <v/>
      </c>
      <c r="N350" t="n">
        <v>1</v>
      </c>
      <c r="O350">
        <f>IF(AND(N350&lt;&gt;"", OR(N350=0, N350=1)), IF(ROUND(H350,0)=N350, 1, 0), "")</f>
        <v/>
      </c>
    </row>
    <row r="351">
      <c r="A351" t="n">
        <v>20260405</v>
      </c>
      <c r="B351" t="inlineStr">
        <is>
          <t>2026-06-30</t>
        </is>
      </c>
      <c r="C351" t="inlineStr">
        <is>
          <t>NC</t>
        </is>
      </c>
      <c r="D351" t="inlineStr">
        <is>
          <t>삼성</t>
        </is>
      </c>
      <c r="E351" t="n">
        <v>11001</v>
      </c>
      <c r="F351" t="n">
        <v>1001</v>
      </c>
      <c r="G351" t="n">
        <v>35.81</v>
      </c>
      <c r="H351" t="n">
        <v>0.3581486075564143</v>
      </c>
      <c r="I351" t="inlineStr">
        <is>
          <t>elo_sp</t>
        </is>
      </c>
      <c r="J351">
        <f>MAX(H351,1-H351)</f>
        <v/>
      </c>
      <c r="K351">
        <f>_xlfn.IFS(
J351&lt;=0.55,"50~55",
J351&lt;=0.6,"55~60",
J351&lt;=0.65,"60~65",
J351&lt;=0.7,"65~70",
TRUE,"70~100"
)</f>
        <v/>
      </c>
      <c r="L351">
        <f>IF(H351&gt;=0.5,"HOME","AWAY")</f>
        <v/>
      </c>
      <c r="M351">
        <f>IF(AND(N351&lt;&gt;"", OR(N351=0, N351=1)), (J351-N351)^2, "")</f>
        <v/>
      </c>
      <c r="N351" t="n">
        <v>0</v>
      </c>
      <c r="O351">
        <f>IF(AND(N351&lt;&gt;"", OR(N351=0, N351=1)), IF(ROUND(H351,0)=N351, 1, 0), "")</f>
        <v/>
      </c>
    </row>
    <row r="352">
      <c r="A352" t="n">
        <v>20260406</v>
      </c>
      <c r="B352" t="inlineStr">
        <is>
          <t>2026-07-01</t>
        </is>
      </c>
      <c r="C352" t="inlineStr">
        <is>
          <t>두산</t>
        </is>
      </c>
      <c r="D352" t="inlineStr">
        <is>
          <t>롯데</t>
        </is>
      </c>
      <c r="E352" t="n">
        <v>6002</v>
      </c>
      <c r="F352" t="n">
        <v>3001</v>
      </c>
      <c r="G352" t="n">
        <v>57.96</v>
      </c>
      <c r="H352" t="n">
        <v>0.5795631570494646</v>
      </c>
      <c r="I352" t="inlineStr">
        <is>
          <t>elo_sp</t>
        </is>
      </c>
      <c r="J352">
        <f>MAX(H352,1-H352)</f>
        <v/>
      </c>
      <c r="K352">
        <f>_xlfn.IFS(
J352&lt;=0.55,"50~55",
J352&lt;=0.6,"55~60",
J352&lt;=0.65,"60~65",
J352&lt;=0.7,"65~70",
TRUE,"70~100"
)</f>
        <v/>
      </c>
      <c r="L352">
        <f>IF(H352&gt;=0.5,"HOME","AWAY")</f>
        <v/>
      </c>
      <c r="M352">
        <f>IF(AND(N352&lt;&gt;"", OR(N352=0, N352=1)), (J352-N352)^2, "")</f>
        <v/>
      </c>
      <c r="N352" t="n">
        <v>0</v>
      </c>
      <c r="O352">
        <f>IF(AND(N352&lt;&gt;"", OR(N352=0, N352=1)), IF(ROUND(H352,0)=N352, 1, 0), "")</f>
        <v/>
      </c>
    </row>
    <row r="353">
      <c r="A353" t="n">
        <v>20260407</v>
      </c>
      <c r="B353" t="inlineStr">
        <is>
          <t>2026-07-01</t>
        </is>
      </c>
      <c r="C353" t="inlineStr">
        <is>
          <t>키움</t>
        </is>
      </c>
      <c r="D353" t="inlineStr">
        <is>
          <t>LG</t>
        </is>
      </c>
      <c r="E353" t="n">
        <v>10001</v>
      </c>
      <c r="F353" t="n">
        <v>5002</v>
      </c>
      <c r="G353" t="n">
        <v>60.99</v>
      </c>
      <c r="H353" t="n">
        <v>0.6099258707371832</v>
      </c>
      <c r="I353" t="inlineStr">
        <is>
          <t>elo_sp</t>
        </is>
      </c>
      <c r="J353">
        <f>MAX(H353,1-H353)</f>
        <v/>
      </c>
      <c r="K353">
        <f>_xlfn.IFS(
J353&lt;=0.55,"50~55",
J353&lt;=0.6,"55~60",
J353&lt;=0.65,"60~65",
J353&lt;=0.7,"65~70",
TRUE,"70~100"
)</f>
        <v/>
      </c>
      <c r="L353">
        <f>IF(H353&gt;=0.5,"HOME","AWAY")</f>
        <v/>
      </c>
      <c r="M353">
        <f>IF(AND(N353&lt;&gt;"", OR(N353=0, N353=1)), (J353-N353)^2, "")</f>
        <v/>
      </c>
      <c r="N353" t="n">
        <v>0</v>
      </c>
      <c r="O353">
        <f>IF(AND(N353&lt;&gt;"", OR(N353=0, N353=1)), IF(ROUND(H353,0)=N353, 1, 0), "")</f>
        <v/>
      </c>
    </row>
    <row r="354">
      <c r="A354" t="n">
        <v>20260408</v>
      </c>
      <c r="B354" t="inlineStr">
        <is>
          <t>2026-07-01</t>
        </is>
      </c>
      <c r="C354" t="inlineStr">
        <is>
          <t>한화</t>
        </is>
      </c>
      <c r="D354" t="inlineStr">
        <is>
          <t>KT</t>
        </is>
      </c>
      <c r="E354" t="n">
        <v>7002</v>
      </c>
      <c r="F354" t="n">
        <v>12001</v>
      </c>
      <c r="G354" t="n">
        <v>37.55</v>
      </c>
      <c r="H354" t="n">
        <v>0.3754609779514909</v>
      </c>
      <c r="I354" t="inlineStr">
        <is>
          <t>elo_sp</t>
        </is>
      </c>
      <c r="J354">
        <f>MAX(H354,1-H354)</f>
        <v/>
      </c>
      <c r="K354">
        <f>_xlfn.IFS(
J354&lt;=0.55,"50~55",
J354&lt;=0.6,"55~60",
J354&lt;=0.65,"60~65",
J354&lt;=0.7,"65~70",
TRUE,"70~100"
)</f>
        <v/>
      </c>
      <c r="L354">
        <f>IF(H354&gt;=0.5,"HOME","AWAY")</f>
        <v/>
      </c>
      <c r="M354">
        <f>IF(AND(N354&lt;&gt;"", OR(N354=0, N354=1)), (J354-N354)^2, "")</f>
        <v/>
      </c>
      <c r="N354" t="n">
        <v>0</v>
      </c>
      <c r="O354">
        <f>IF(AND(N354&lt;&gt;"", OR(N354=0, N354=1)), IF(ROUND(H354,0)=N354, 1, 0), "")</f>
        <v/>
      </c>
    </row>
    <row r="355">
      <c r="A355" t="n">
        <v>20260409</v>
      </c>
      <c r="B355" t="inlineStr">
        <is>
          <t>2026-07-01</t>
        </is>
      </c>
      <c r="C355" t="inlineStr">
        <is>
          <t>KIA</t>
        </is>
      </c>
      <c r="D355" t="inlineStr">
        <is>
          <t>SSG</t>
        </is>
      </c>
      <c r="E355" t="n">
        <v>2002</v>
      </c>
      <c r="F355" t="n">
        <v>9002</v>
      </c>
      <c r="G355" t="n">
        <v>58.6</v>
      </c>
      <c r="H355" t="n">
        <v>0.5859559802536468</v>
      </c>
      <c r="I355" t="inlineStr">
        <is>
          <t>elo_sp</t>
        </is>
      </c>
      <c r="J355">
        <f>MAX(H355,1-H355)</f>
        <v/>
      </c>
      <c r="K355">
        <f>_xlfn.IFS(
J355&lt;=0.55,"50~55",
J355&lt;=0.6,"55~60",
J355&lt;=0.65,"60~65",
J355&lt;=0.7,"65~70",
TRUE,"70~100"
)</f>
        <v/>
      </c>
      <c r="L355">
        <f>IF(H355&gt;=0.5,"HOME","AWAY")</f>
        <v/>
      </c>
      <c r="M355">
        <f>IF(AND(N355&lt;&gt;"", OR(N355=0, N355=1)), (J355-N355)^2, "")</f>
        <v/>
      </c>
      <c r="N355" t="inlineStr">
        <is>
          <t>draw</t>
        </is>
      </c>
      <c r="O355">
        <f>IF(AND(N355&lt;&gt;"", OR(N355=0, N355=1)), IF(ROUND(H355,0)=N355, 1, 0), "")</f>
        <v/>
      </c>
    </row>
    <row r="356">
      <c r="A356" t="n">
        <v>20260410</v>
      </c>
      <c r="B356" t="inlineStr">
        <is>
          <t>2026-07-01</t>
        </is>
      </c>
      <c r="C356" t="inlineStr">
        <is>
          <t>NC</t>
        </is>
      </c>
      <c r="D356" t="inlineStr">
        <is>
          <t>삼성</t>
        </is>
      </c>
      <c r="E356" t="n">
        <v>11001</v>
      </c>
      <c r="F356" t="n">
        <v>1001</v>
      </c>
      <c r="G356" t="n">
        <v>41.81</v>
      </c>
      <c r="H356" t="n">
        <v>0.4181227027093314</v>
      </c>
      <c r="I356" t="inlineStr">
        <is>
          <t>elo_sp</t>
        </is>
      </c>
      <c r="J356">
        <f>MAX(H356,1-H356)</f>
        <v/>
      </c>
      <c r="K356">
        <f>_xlfn.IFS(
J356&lt;=0.55,"50~55",
J356&lt;=0.6,"55~60",
J356&lt;=0.65,"60~65",
J356&lt;=0.7,"65~70",
TRUE,"70~100"
)</f>
        <v/>
      </c>
      <c r="L356">
        <f>IF(H356&gt;=0.5,"HOME","AWAY")</f>
        <v/>
      </c>
      <c r="M356">
        <f>IF(AND(N356&lt;&gt;"", OR(N356=0, N356=1)), (J356-N356)^2, "")</f>
        <v/>
      </c>
      <c r="N356" t="n">
        <v>1</v>
      </c>
      <c r="O356">
        <f>IF(AND(N356&lt;&gt;"", OR(N356=0, N356=1)), IF(ROUND(H356,0)=N356, 1, 0), "")</f>
        <v/>
      </c>
    </row>
    <row r="357">
      <c r="A357" t="n">
        <v>20260411</v>
      </c>
      <c r="B357" t="inlineStr">
        <is>
          <t>2026-07-02</t>
        </is>
      </c>
      <c r="C357" t="inlineStr">
        <is>
          <t>두산</t>
        </is>
      </c>
      <c r="D357" t="inlineStr">
        <is>
          <t>롯데</t>
        </is>
      </c>
      <c r="E357" t="n">
        <v>6002</v>
      </c>
      <c r="F357" t="n">
        <v>3001</v>
      </c>
      <c r="G357" t="n">
        <v>63.43</v>
      </c>
      <c r="H357" t="n">
        <v>0.63434944139121</v>
      </c>
      <c r="I357" t="inlineStr">
        <is>
          <t>elo_sp</t>
        </is>
      </c>
      <c r="J357">
        <f>MAX(H357,1-H357)</f>
        <v/>
      </c>
      <c r="K357">
        <f>_xlfn.IFS(
J357&lt;=0.55,"50~55",
J357&lt;=0.6,"55~60",
J357&lt;=0.65,"60~65",
J357&lt;=0.7,"65~70",
TRUE,"70~100"
)</f>
        <v/>
      </c>
      <c r="L357">
        <f>IF(H357&gt;=0.5,"HOME","AWAY")</f>
        <v/>
      </c>
      <c r="M357">
        <f>IF(AND(N357&lt;&gt;"", OR(N357=0, N357=1)), (J357-N357)^2, "")</f>
        <v/>
      </c>
      <c r="N357" t="n">
        <v>1</v>
      </c>
      <c r="O357">
        <f>IF(AND(N357&lt;&gt;"", OR(N357=0, N357=1)), IF(ROUND(H357,0)=N357, 1, 0), "")</f>
        <v/>
      </c>
    </row>
    <row r="358">
      <c r="A358" t="n">
        <v>20260412</v>
      </c>
      <c r="B358" t="inlineStr">
        <is>
          <t>2026-07-02</t>
        </is>
      </c>
      <c r="C358" t="inlineStr">
        <is>
          <t>키움</t>
        </is>
      </c>
      <c r="D358" t="inlineStr">
        <is>
          <t>LG</t>
        </is>
      </c>
      <c r="E358" t="n">
        <v>10001</v>
      </c>
      <c r="F358" t="n">
        <v>5002</v>
      </c>
      <c r="G358" t="n">
        <v>48.88</v>
      </c>
      <c r="H358" t="n">
        <v>0.4888121034311633</v>
      </c>
      <c r="I358" t="inlineStr">
        <is>
          <t>elo_sp</t>
        </is>
      </c>
      <c r="J358">
        <f>MAX(H358,1-H358)</f>
        <v/>
      </c>
      <c r="K358">
        <f>_xlfn.IFS(
J358&lt;=0.55,"50~55",
J358&lt;=0.6,"55~60",
J358&lt;=0.65,"60~65",
J358&lt;=0.7,"65~70",
TRUE,"70~100"
)</f>
        <v/>
      </c>
      <c r="L358">
        <f>IF(H358&gt;=0.5,"HOME","AWAY")</f>
        <v/>
      </c>
      <c r="M358">
        <f>IF(AND(N358&lt;&gt;"", OR(N358=0, N358=1)), (J358-N358)^2, "")</f>
        <v/>
      </c>
      <c r="N358" t="n">
        <v>0</v>
      </c>
      <c r="O358">
        <f>IF(AND(N358&lt;&gt;"", OR(N358=0, N358=1)), IF(ROUND(H358,0)=N358, 1, 0), "")</f>
        <v/>
      </c>
    </row>
    <row r="359">
      <c r="A359" t="n">
        <v>20260413</v>
      </c>
      <c r="B359" t="inlineStr">
        <is>
          <t>2026-07-02</t>
        </is>
      </c>
      <c r="C359" t="inlineStr">
        <is>
          <t>한화</t>
        </is>
      </c>
      <c r="D359" t="inlineStr">
        <is>
          <t>KT</t>
        </is>
      </c>
      <c r="E359" t="n">
        <v>7002</v>
      </c>
      <c r="F359" t="n">
        <v>12001</v>
      </c>
      <c r="G359" t="n">
        <v>49.32</v>
      </c>
      <c r="H359" t="n">
        <v>0.4931957445177669</v>
      </c>
      <c r="I359" t="inlineStr">
        <is>
          <t>elo_sp</t>
        </is>
      </c>
      <c r="J359">
        <f>MAX(H359,1-H359)</f>
        <v/>
      </c>
      <c r="K359">
        <f>_xlfn.IFS(
J359&lt;=0.55,"50~55",
J359&lt;=0.6,"55~60",
J359&lt;=0.65,"60~65",
J359&lt;=0.7,"65~70",
TRUE,"70~100"
)</f>
        <v/>
      </c>
      <c r="L359">
        <f>IF(H359&gt;=0.5,"HOME","AWAY")</f>
        <v/>
      </c>
      <c r="M359">
        <f>IF(AND(N359&lt;&gt;"", OR(N359=0, N359=1)), (J359-N359)^2, "")</f>
        <v/>
      </c>
      <c r="N359" t="n">
        <v>1</v>
      </c>
      <c r="O359">
        <f>IF(AND(N359&lt;&gt;"", OR(N359=0, N359=1)), IF(ROUND(H359,0)=N359, 1, 0), "")</f>
        <v/>
      </c>
    </row>
    <row r="360">
      <c r="A360" t="n">
        <v>20260414</v>
      </c>
      <c r="B360" t="inlineStr">
        <is>
          <t>2026-07-02</t>
        </is>
      </c>
      <c r="C360" t="inlineStr">
        <is>
          <t>KIA</t>
        </is>
      </c>
      <c r="D360" t="inlineStr">
        <is>
          <t>SSG</t>
        </is>
      </c>
      <c r="E360" t="n">
        <v>2002</v>
      </c>
      <c r="F360" t="n">
        <v>9002</v>
      </c>
      <c r="G360" t="n">
        <v>73.23</v>
      </c>
      <c r="H360" t="n">
        <v>0.7323212513219041</v>
      </c>
      <c r="I360" t="inlineStr">
        <is>
          <t>elo_sp</t>
        </is>
      </c>
      <c r="J360">
        <f>MAX(H360,1-H360)</f>
        <v/>
      </c>
      <c r="K360">
        <f>_xlfn.IFS(
J360&lt;=0.55,"50~55",
J360&lt;=0.6,"55~60",
J360&lt;=0.65,"60~65",
J360&lt;=0.7,"65~70",
TRUE,"70~100"
)</f>
        <v/>
      </c>
      <c r="L360">
        <f>IF(H360&gt;=0.5,"HOME","AWAY")</f>
        <v/>
      </c>
      <c r="M360">
        <f>IF(AND(N360&lt;&gt;"", OR(N360=0, N360=1)), (J360-N360)^2, "")</f>
        <v/>
      </c>
      <c r="N360" t="n">
        <v>1</v>
      </c>
      <c r="O360">
        <f>IF(AND(N360&lt;&gt;"", OR(N360=0, N360=1)), IF(ROUND(H360,0)=N360, 1, 0), "")</f>
        <v/>
      </c>
    </row>
    <row r="361">
      <c r="A361" t="n">
        <v>20260415</v>
      </c>
      <c r="B361" t="inlineStr">
        <is>
          <t>2026-07-02</t>
        </is>
      </c>
      <c r="C361" t="inlineStr">
        <is>
          <t>NC</t>
        </is>
      </c>
      <c r="D361" t="inlineStr">
        <is>
          <t>삼성</t>
        </is>
      </c>
      <c r="E361" t="n">
        <v>11001</v>
      </c>
      <c r="F361" t="n">
        <v>1001</v>
      </c>
      <c r="G361" t="n">
        <v>48.91</v>
      </c>
      <c r="H361" t="n">
        <v>0.4890979505705955</v>
      </c>
      <c r="I361" t="inlineStr">
        <is>
          <t>elo_sp</t>
        </is>
      </c>
      <c r="J361">
        <f>MAX(H361,1-H361)</f>
        <v/>
      </c>
      <c r="K361">
        <f>_xlfn.IFS(
J361&lt;=0.55,"50~55",
J361&lt;=0.6,"55~60",
J361&lt;=0.65,"60~65",
J361&lt;=0.7,"65~70",
TRUE,"70~100"
)</f>
        <v/>
      </c>
      <c r="L361">
        <f>IF(H361&gt;=0.5,"HOME","AWAY")</f>
        <v/>
      </c>
      <c r="M361">
        <f>IF(AND(N361&lt;&gt;"", OR(N361=0, N361=1)), (J361-N361)^2, "")</f>
        <v/>
      </c>
      <c r="N361" t="n">
        <v>0</v>
      </c>
      <c r="O361">
        <f>IF(AND(N361&lt;&gt;"", OR(N361=0, N361=1)), IF(ROUND(H361,0)=N361, 1, 0), "")</f>
        <v/>
      </c>
    </row>
    <row r="362">
      <c r="A362" t="n">
        <v>20260416</v>
      </c>
      <c r="B362" t="inlineStr">
        <is>
          <t>2026-07-03</t>
        </is>
      </c>
      <c r="C362" t="inlineStr">
        <is>
          <t>LG</t>
        </is>
      </c>
      <c r="D362" t="inlineStr">
        <is>
          <t>한화</t>
        </is>
      </c>
      <c r="E362" t="n">
        <v>5002</v>
      </c>
      <c r="F362" t="n">
        <v>7002</v>
      </c>
      <c r="G362" t="n">
        <v>48.05</v>
      </c>
      <c r="H362" t="n">
        <v>0.4805204879365433</v>
      </c>
      <c r="I362" t="inlineStr">
        <is>
          <t>elo_sp</t>
        </is>
      </c>
      <c r="J362">
        <f>MAX(H362,1-H362)</f>
        <v/>
      </c>
      <c r="K362">
        <f>_xlfn.IFS(
J362&lt;=0.55,"50~55",
J362&lt;=0.6,"55~60",
J362&lt;=0.65,"60~65",
J362&lt;=0.7,"65~70",
TRUE,"70~100"
)</f>
        <v/>
      </c>
      <c r="L362">
        <f>IF(H362&gt;=0.5,"HOME","AWAY")</f>
        <v/>
      </c>
      <c r="M362">
        <f>IF(AND(N362&lt;&gt;"", OR(N362=0, N362=1)), (J362-N362)^2, "")</f>
        <v/>
      </c>
      <c r="N362" t="n">
        <v>0</v>
      </c>
      <c r="O362">
        <f>IF(AND(N362&lt;&gt;"", OR(N362=0, N362=1)), IF(ROUND(H362,0)=N362, 1, 0), "")</f>
        <v/>
      </c>
    </row>
    <row r="363">
      <c r="A363" t="n">
        <v>20260417</v>
      </c>
      <c r="B363" t="inlineStr">
        <is>
          <t>2026-07-03</t>
        </is>
      </c>
      <c r="C363" t="inlineStr">
        <is>
          <t>키움</t>
        </is>
      </c>
      <c r="D363" t="inlineStr">
        <is>
          <t>두산</t>
        </is>
      </c>
      <c r="E363" t="n">
        <v>10001</v>
      </c>
      <c r="F363" t="n">
        <v>6002</v>
      </c>
      <c r="G363" t="n">
        <v>45.35</v>
      </c>
      <c r="H363" t="n">
        <v>0.4535163145979058</v>
      </c>
      <c r="I363" t="inlineStr">
        <is>
          <t>elo_sp</t>
        </is>
      </c>
      <c r="J363">
        <f>MAX(H363,1-H363)</f>
        <v/>
      </c>
      <c r="K363">
        <f>_xlfn.IFS(
J363&lt;=0.55,"50~55",
J363&lt;=0.6,"55~60",
J363&lt;=0.65,"60~65",
J363&lt;=0.7,"65~70",
TRUE,"70~100"
)</f>
        <v/>
      </c>
      <c r="L363">
        <f>IF(H363&gt;=0.5,"HOME","AWAY")</f>
        <v/>
      </c>
      <c r="M363">
        <f>IF(AND(N363&lt;&gt;"", OR(N363=0, N363=1)), (J363-N363)^2, "")</f>
        <v/>
      </c>
      <c r="N363" t="n">
        <v>1</v>
      </c>
      <c r="O363">
        <f>IF(AND(N363&lt;&gt;"", OR(N363=0, N363=1)), IF(ROUND(H363,0)=N363, 1, 0), "")</f>
        <v/>
      </c>
    </row>
    <row r="364">
      <c r="A364" t="n">
        <v>20260418</v>
      </c>
      <c r="B364" t="inlineStr">
        <is>
          <t>2026-07-03</t>
        </is>
      </c>
      <c r="C364" t="inlineStr">
        <is>
          <t>SSG</t>
        </is>
      </c>
      <c r="D364" t="inlineStr">
        <is>
          <t>삼성</t>
        </is>
      </c>
      <c r="E364" t="n">
        <v>9002</v>
      </c>
      <c r="F364" t="n">
        <v>1001</v>
      </c>
      <c r="G364" t="n">
        <v>31.75</v>
      </c>
      <c r="H364" t="n">
        <v>0.3175001002882944</v>
      </c>
      <c r="I364" t="inlineStr">
        <is>
          <t>elo_sp</t>
        </is>
      </c>
      <c r="J364">
        <f>MAX(H364,1-H364)</f>
        <v/>
      </c>
      <c r="K364">
        <f>_xlfn.IFS(
J364&lt;=0.55,"50~55",
J364&lt;=0.6,"55~60",
J364&lt;=0.65,"60~65",
J364&lt;=0.7,"65~70",
TRUE,"70~100"
)</f>
        <v/>
      </c>
      <c r="L364">
        <f>IF(H364&gt;=0.5,"HOME","AWAY")</f>
        <v/>
      </c>
      <c r="M364">
        <f>IF(AND(N364&lt;&gt;"", OR(N364=0, N364=1)), (J364-N364)^2, "")</f>
        <v/>
      </c>
      <c r="N364" t="n">
        <v>0</v>
      </c>
      <c r="O364">
        <f>IF(AND(N364&lt;&gt;"", OR(N364=0, N364=1)), IF(ROUND(H364,0)=N364, 1, 0), "")</f>
        <v/>
      </c>
    </row>
    <row r="365">
      <c r="A365" t="n">
        <v>20260419</v>
      </c>
      <c r="B365" t="inlineStr">
        <is>
          <t>2026-07-03</t>
        </is>
      </c>
      <c r="C365" t="inlineStr">
        <is>
          <t>KT</t>
        </is>
      </c>
      <c r="D365" t="inlineStr">
        <is>
          <t>롯데</t>
        </is>
      </c>
      <c r="E365" t="n">
        <v>12001</v>
      </c>
      <c r="F365" t="n">
        <v>3001</v>
      </c>
      <c r="G365" t="n">
        <v>54.28</v>
      </c>
      <c r="H365" t="n">
        <v>0.5428177493863043</v>
      </c>
      <c r="I365" t="inlineStr">
        <is>
          <t>elo_sp</t>
        </is>
      </c>
      <c r="J365">
        <f>MAX(H365,1-H365)</f>
        <v/>
      </c>
      <c r="K365">
        <f>_xlfn.IFS(
J365&lt;=0.55,"50~55",
J365&lt;=0.6,"55~60",
J365&lt;=0.65,"60~65",
J365&lt;=0.7,"65~70",
TRUE,"70~100"
)</f>
        <v/>
      </c>
      <c r="L365">
        <f>IF(H365&gt;=0.5,"HOME","AWAY")</f>
        <v/>
      </c>
      <c r="M365">
        <f>IF(AND(N365&lt;&gt;"", OR(N365=0, N365=1)), (J365-N365)^2, "")</f>
        <v/>
      </c>
      <c r="N365" t="n">
        <v>0</v>
      </c>
      <c r="O365">
        <f>IF(AND(N365&lt;&gt;"", OR(N365=0, N365=1)), IF(ROUND(H365,0)=N365, 1, 0), "")</f>
        <v/>
      </c>
    </row>
    <row r="366">
      <c r="A366" t="n">
        <v>20260420</v>
      </c>
      <c r="B366" t="inlineStr">
        <is>
          <t>2026-07-03</t>
        </is>
      </c>
      <c r="C366" t="inlineStr">
        <is>
          <t>KIA</t>
        </is>
      </c>
      <c r="D366" t="inlineStr">
        <is>
          <t>NC</t>
        </is>
      </c>
      <c r="E366" t="n">
        <v>2002</v>
      </c>
      <c r="F366" t="n">
        <v>11001</v>
      </c>
      <c r="G366" t="n">
        <v>44.2</v>
      </c>
      <c r="H366" t="n">
        <v>0.4420419571591856</v>
      </c>
      <c r="I366" t="inlineStr">
        <is>
          <t>elo_sp</t>
        </is>
      </c>
      <c r="J366">
        <f>MAX(H366,1-H366)</f>
        <v/>
      </c>
      <c r="K366">
        <f>_xlfn.IFS(
J366&lt;=0.55,"50~55",
J366&lt;=0.6,"55~60",
J366&lt;=0.65,"60~65",
J366&lt;=0.7,"65~70",
TRUE,"70~100"
)</f>
        <v/>
      </c>
      <c r="L366">
        <f>IF(H366&gt;=0.5,"HOME","AWAY")</f>
        <v/>
      </c>
      <c r="M366">
        <f>IF(AND(N366&lt;&gt;"", OR(N366=0, N366=1)), (J366-N366)^2, "")</f>
        <v/>
      </c>
      <c r="N366" t="n">
        <v>0</v>
      </c>
      <c r="O366">
        <f>IF(AND(N366&lt;&gt;"", OR(N366=0, N366=1)), IF(ROUND(H366,0)=N366, 1, 0), "")</f>
        <v/>
      </c>
    </row>
    <row r="367">
      <c r="A367" t="n">
        <v>20260427</v>
      </c>
      <c r="B367" t="inlineStr">
        <is>
          <t>2026-07-05</t>
        </is>
      </c>
      <c r="C367" t="inlineStr">
        <is>
          <t>키움</t>
        </is>
      </c>
      <c r="D367" t="inlineStr">
        <is>
          <t>두산</t>
        </is>
      </c>
      <c r="E367" t="n">
        <v>10001</v>
      </c>
      <c r="F367" t="n">
        <v>6002</v>
      </c>
      <c r="G367" t="n">
        <v>25.87</v>
      </c>
      <c r="H367" t="n">
        <v>0.2587240137812095</v>
      </c>
      <c r="I367" t="inlineStr">
        <is>
          <t>elo_sp</t>
        </is>
      </c>
      <c r="J367">
        <f>MAX(H367,1-H367)</f>
        <v/>
      </c>
      <c r="K367">
        <f>_xlfn.IFS(
J367&lt;=0.55,"50~55",
J367&lt;=0.6,"55~60",
J367&lt;=0.65,"60~65",
J367&lt;=0.7,"65~70",
TRUE,"70~100"
)</f>
        <v/>
      </c>
      <c r="L367">
        <f>IF(H367&gt;=0.5,"HOME","AWAY")</f>
        <v/>
      </c>
      <c r="M367">
        <f>IF(AND(N367&lt;&gt;"", OR(N367=0, N367=1)), (J367-N367)^2, "")</f>
        <v/>
      </c>
      <c r="N367" t="n">
        <v>0</v>
      </c>
      <c r="O367">
        <f>IF(AND(N367&lt;&gt;"", OR(N367=0, N367=1)), IF(ROUND(H367,0)=N367, 1, 0), "")</f>
        <v/>
      </c>
    </row>
    <row r="368">
      <c r="A368" t="n">
        <v>20260426</v>
      </c>
      <c r="B368" t="inlineStr">
        <is>
          <t>2026-07-05</t>
        </is>
      </c>
      <c r="C368" t="inlineStr">
        <is>
          <t>LG</t>
        </is>
      </c>
      <c r="D368" t="inlineStr">
        <is>
          <t>한화</t>
        </is>
      </c>
      <c r="E368" t="n">
        <v>5002</v>
      </c>
      <c r="F368" t="n">
        <v>7002</v>
      </c>
      <c r="G368" t="n">
        <v>36.53</v>
      </c>
      <c r="H368" t="n">
        <v>0.3653462025604961</v>
      </c>
      <c r="I368" t="inlineStr">
        <is>
          <t>elo_sp</t>
        </is>
      </c>
      <c r="J368">
        <f>MAX(H368,1-H368)</f>
        <v/>
      </c>
      <c r="K368">
        <f>_xlfn.IFS(
J368&lt;=0.55,"50~55",
J368&lt;=0.6,"55~60",
J368&lt;=0.65,"60~65",
J368&lt;=0.7,"65~70",
TRUE,"70~100"
)</f>
        <v/>
      </c>
      <c r="L368">
        <f>IF(H368&gt;=0.5,"HOME","AWAY")</f>
        <v/>
      </c>
      <c r="M368">
        <f>IF(AND(N368&lt;&gt;"", OR(N368=0, N368=1)), (J368-N368)^2, "")</f>
        <v/>
      </c>
      <c r="N368" t="inlineStr">
        <is>
          <t>cancel</t>
        </is>
      </c>
      <c r="O368">
        <f>IF(AND(N368&lt;&gt;"", OR(N368=0, N368=1)), IF(ROUND(H368,0)=N368, 1, 0), "")</f>
        <v/>
      </c>
    </row>
    <row r="369">
      <c r="A369" t="n">
        <v>20260428</v>
      </c>
      <c r="B369" t="inlineStr">
        <is>
          <t>2026-07-05</t>
        </is>
      </c>
      <c r="C369" t="inlineStr">
        <is>
          <t>SSG</t>
        </is>
      </c>
      <c r="D369" t="inlineStr">
        <is>
          <t>삼성</t>
        </is>
      </c>
      <c r="E369" t="n">
        <v>9002</v>
      </c>
      <c r="F369" t="n">
        <v>1001</v>
      </c>
      <c r="G369" t="n">
        <v>34.77</v>
      </c>
      <c r="H369" t="n">
        <v>0.3476886483007118</v>
      </c>
      <c r="I369" t="inlineStr">
        <is>
          <t>elo_sp</t>
        </is>
      </c>
      <c r="J369">
        <f>MAX(H369,1-H369)</f>
        <v/>
      </c>
      <c r="K369">
        <f>_xlfn.IFS(
J369&lt;=0.55,"50~55",
J369&lt;=0.6,"55~60",
J369&lt;=0.65,"60~65",
J369&lt;=0.7,"65~70",
TRUE,"70~100"
)</f>
        <v/>
      </c>
      <c r="L369">
        <f>IF(H369&gt;=0.5,"HOME","AWAY")</f>
        <v/>
      </c>
      <c r="M369">
        <f>IF(AND(N369&lt;&gt;"", OR(N369=0, N369=1)), (J369-N369)^2, "")</f>
        <v/>
      </c>
      <c r="N369" t="n">
        <v>0</v>
      </c>
      <c r="O369">
        <f>IF(AND(N369&lt;&gt;"", OR(N369=0, N369=1)), IF(ROUND(H369,0)=N369, 1, 0), "")</f>
        <v/>
      </c>
    </row>
    <row r="370">
      <c r="A370" t="n">
        <v>20260429</v>
      </c>
      <c r="B370" t="inlineStr">
        <is>
          <t>2026-07-05</t>
        </is>
      </c>
      <c r="C370" t="inlineStr">
        <is>
          <t>KT</t>
        </is>
      </c>
      <c r="D370" t="inlineStr">
        <is>
          <t>롯데</t>
        </is>
      </c>
      <c r="E370" t="n">
        <v>12001</v>
      </c>
      <c r="F370" t="n">
        <v>3001</v>
      </c>
      <c r="G370" t="n">
        <v>41.62</v>
      </c>
      <c r="H370" t="n">
        <v>0.4161546727336852</v>
      </c>
      <c r="I370" t="inlineStr">
        <is>
          <t>elo_sp</t>
        </is>
      </c>
      <c r="J370">
        <f>MAX(H370,1-H370)</f>
        <v/>
      </c>
      <c r="K370">
        <f>_xlfn.IFS(
J370&lt;=0.55,"50~55",
J370&lt;=0.6,"55~60",
J370&lt;=0.65,"60~65",
J370&lt;=0.7,"65~70",
TRUE,"70~100"
)</f>
        <v/>
      </c>
      <c r="L370">
        <f>IF(H370&gt;=0.5,"HOME","AWAY")</f>
        <v/>
      </c>
      <c r="M370">
        <f>IF(AND(N370&lt;&gt;"", OR(N370=0, N370=1)), (J370-N370)^2, "")</f>
        <v/>
      </c>
      <c r="N370" t="n">
        <v>1</v>
      </c>
      <c r="O370">
        <f>IF(AND(N370&lt;&gt;"", OR(N370=0, N370=1)), IF(ROUND(H370,0)=N370, 1, 0), "")</f>
        <v/>
      </c>
    </row>
    <row r="371">
      <c r="A371" t="n">
        <v>20260430</v>
      </c>
      <c r="B371" t="inlineStr">
        <is>
          <t>2026-07-05</t>
        </is>
      </c>
      <c r="C371" t="inlineStr">
        <is>
          <t>KIA</t>
        </is>
      </c>
      <c r="D371" t="inlineStr">
        <is>
          <t>NC</t>
        </is>
      </c>
      <c r="E371" t="n">
        <v>2002</v>
      </c>
      <c r="F371" t="n">
        <v>11001</v>
      </c>
      <c r="G371" t="n">
        <v>40.51</v>
      </c>
      <c r="H371" t="n">
        <v>0.4050819769559774</v>
      </c>
      <c r="I371" t="inlineStr">
        <is>
          <t>elo_sp</t>
        </is>
      </c>
      <c r="J371">
        <f>MAX(H371,1-H371)</f>
        <v/>
      </c>
      <c r="K371">
        <f>_xlfn.IFS(
J371&lt;=0.55,"50~55",
J371&lt;=0.6,"55~60",
J371&lt;=0.65,"60~65",
J371&lt;=0.7,"65~70",
TRUE,"70~100"
)</f>
        <v/>
      </c>
      <c r="L371">
        <f>IF(H371&gt;=0.5,"HOME","AWAY")</f>
        <v/>
      </c>
      <c r="M371">
        <f>IF(AND(N371&lt;&gt;"", OR(N371=0, N371=1)), (J371-N371)^2, "")</f>
        <v/>
      </c>
      <c r="N371" t="inlineStr">
        <is>
          <t>cancel</t>
        </is>
      </c>
      <c r="O371">
        <f>IF(AND(N371&lt;&gt;"", OR(N371=0, N371=1)), IF(ROUND(H371,0)=N371, 1, 0), "")</f>
        <v/>
      </c>
    </row>
    <row r="372">
      <c r="A372" t="n">
        <v>20260431</v>
      </c>
      <c r="B372" t="inlineStr">
        <is>
          <t>2026-07-07</t>
        </is>
      </c>
      <c r="C372" t="inlineStr">
        <is>
          <t>두산</t>
        </is>
      </c>
      <c r="D372" t="inlineStr">
        <is>
          <t>SSG</t>
        </is>
      </c>
      <c r="E372" t="n">
        <v>6002</v>
      </c>
      <c r="F372" t="n">
        <v>9002</v>
      </c>
      <c r="G372" t="n">
        <v>66.87</v>
      </c>
      <c r="H372" t="n">
        <v>0.6687026423267178</v>
      </c>
      <c r="I372" t="inlineStr">
        <is>
          <t>elo_sp</t>
        </is>
      </c>
      <c r="J372">
        <f>MAX(H372,1-H372)</f>
        <v/>
      </c>
      <c r="K372">
        <f>_xlfn.IFS(
J372&lt;=0.55,"50~55",
J372&lt;=0.6,"55~60",
J372&lt;=0.65,"60~65",
J372&lt;=0.7,"65~70",
TRUE,"70~100"
)</f>
        <v/>
      </c>
      <c r="L372">
        <f>IF(H372&gt;=0.5,"HOME","AWAY")</f>
        <v/>
      </c>
      <c r="M372">
        <f>IF(AND(N372&lt;&gt;"", OR(N372=0, N372=1)), (J372-N372)^2, "")</f>
        <v/>
      </c>
      <c r="N372" t="n">
        <v>0</v>
      </c>
      <c r="O372">
        <f>IF(AND(N372&lt;&gt;"", OR(N372=0, N372=1)), IF(ROUND(H372,0)=N372, 1, 0), "")</f>
        <v/>
      </c>
    </row>
    <row r="373">
      <c r="A373" t="n">
        <v>20260432</v>
      </c>
      <c r="B373" t="inlineStr">
        <is>
          <t>2026-07-07</t>
        </is>
      </c>
      <c r="C373" t="inlineStr">
        <is>
          <t>KT</t>
        </is>
      </c>
      <c r="D373" t="inlineStr">
        <is>
          <t>키움</t>
        </is>
      </c>
      <c r="E373" t="n">
        <v>12001</v>
      </c>
      <c r="F373" t="n">
        <v>10001</v>
      </c>
      <c r="G373" t="n">
        <v>51.51</v>
      </c>
      <c r="H373" t="n">
        <v>0.5150897099314388</v>
      </c>
      <c r="I373" t="inlineStr">
        <is>
          <t>elo_sp</t>
        </is>
      </c>
      <c r="J373">
        <f>MAX(H373,1-H373)</f>
        <v/>
      </c>
      <c r="K373">
        <f>_xlfn.IFS(
J373&lt;=0.55,"50~55",
J373&lt;=0.6,"55~60",
J373&lt;=0.65,"60~65",
J373&lt;=0.7,"65~70",
TRUE,"70~100"
)</f>
        <v/>
      </c>
      <c r="L373">
        <f>IF(H373&gt;=0.5,"HOME","AWAY")</f>
        <v/>
      </c>
      <c r="M373">
        <f>IF(AND(N373&lt;&gt;"", OR(N373=0, N373=1)), (J373-N373)^2, "")</f>
        <v/>
      </c>
      <c r="N373" t="n">
        <v>1</v>
      </c>
      <c r="O373">
        <f>IF(AND(N373&lt;&gt;"", OR(N373=0, N373=1)), IF(ROUND(H373,0)=N373, 1, 0), "")</f>
        <v/>
      </c>
    </row>
    <row r="374">
      <c r="A374" t="n">
        <v>20260433</v>
      </c>
      <c r="B374" t="inlineStr">
        <is>
          <t>2026-07-07</t>
        </is>
      </c>
      <c r="C374" t="inlineStr">
        <is>
          <t>한화</t>
        </is>
      </c>
      <c r="D374" t="inlineStr">
        <is>
          <t>NC</t>
        </is>
      </c>
      <c r="E374" t="n">
        <v>7002</v>
      </c>
      <c r="F374" t="n">
        <v>11001</v>
      </c>
      <c r="G374" t="n">
        <v>45.32</v>
      </c>
      <c r="H374" t="n">
        <v>0.453209564072941</v>
      </c>
      <c r="I374" t="inlineStr">
        <is>
          <t>elo_sp</t>
        </is>
      </c>
      <c r="J374">
        <f>MAX(H374,1-H374)</f>
        <v/>
      </c>
      <c r="K374">
        <f>_xlfn.IFS(
J374&lt;=0.55,"50~55",
J374&lt;=0.6,"55~60",
J374&lt;=0.65,"60~65",
J374&lt;=0.7,"65~70",
TRUE,"70~100"
)</f>
        <v/>
      </c>
      <c r="L374">
        <f>IF(H374&gt;=0.5,"HOME","AWAY")</f>
        <v/>
      </c>
      <c r="M374">
        <f>IF(AND(N374&lt;&gt;"", OR(N374=0, N374=1)), (J374-N374)^2, "")</f>
        <v/>
      </c>
      <c r="N374" t="n">
        <v>0</v>
      </c>
      <c r="O374">
        <f>IF(AND(N374&lt;&gt;"", OR(N374=0, N374=1)), IF(ROUND(H374,0)=N374, 1, 0), "")</f>
        <v/>
      </c>
    </row>
    <row r="375">
      <c r="A375" t="n">
        <v>20260434</v>
      </c>
      <c r="B375" t="inlineStr">
        <is>
          <t>2026-07-07</t>
        </is>
      </c>
      <c r="C375" t="inlineStr">
        <is>
          <t>삼성</t>
        </is>
      </c>
      <c r="D375" t="inlineStr">
        <is>
          <t>LG</t>
        </is>
      </c>
      <c r="E375" t="n">
        <v>1001</v>
      </c>
      <c r="F375" t="n">
        <v>5002</v>
      </c>
      <c r="G375" t="n">
        <v>54.22</v>
      </c>
      <c r="H375" t="n">
        <v>0.542192359206871</v>
      </c>
      <c r="I375" t="inlineStr">
        <is>
          <t>elo_sp</t>
        </is>
      </c>
      <c r="J375">
        <f>MAX(H375,1-H375)</f>
        <v/>
      </c>
      <c r="K375">
        <f>_xlfn.IFS(
J375&lt;=0.55,"50~55",
J375&lt;=0.6,"55~60",
J375&lt;=0.65,"60~65",
J375&lt;=0.7,"65~70",
TRUE,"70~100"
)</f>
        <v/>
      </c>
      <c r="L375">
        <f>IF(H375&gt;=0.5,"HOME","AWAY")</f>
        <v/>
      </c>
      <c r="M375">
        <f>IF(AND(N375&lt;&gt;"", OR(N375=0, N375=1)), (J375-N375)^2, "")</f>
        <v/>
      </c>
      <c r="N375" t="n">
        <v>1</v>
      </c>
      <c r="O375">
        <f>IF(AND(N375&lt;&gt;"", OR(N375=0, N375=1)), IF(ROUND(H375,0)=N375, 1, 0), "")</f>
        <v/>
      </c>
    </row>
    <row r="376">
      <c r="A376" t="n">
        <v>20260435</v>
      </c>
      <c r="B376" t="inlineStr">
        <is>
          <t>2026-07-07</t>
        </is>
      </c>
      <c r="C376" t="inlineStr">
        <is>
          <t>롯데</t>
        </is>
      </c>
      <c r="D376" t="inlineStr">
        <is>
          <t>KIA</t>
        </is>
      </c>
      <c r="E376" t="n">
        <v>3001</v>
      </c>
      <c r="F376" t="n">
        <v>2002</v>
      </c>
      <c r="G376" t="n">
        <v>69.62</v>
      </c>
      <c r="H376" t="n">
        <v>0.6962445472824347</v>
      </c>
      <c r="I376" t="inlineStr">
        <is>
          <t>elo_sp</t>
        </is>
      </c>
      <c r="J376">
        <f>MAX(H376,1-H376)</f>
        <v/>
      </c>
      <c r="K376">
        <f>_xlfn.IFS(
J376&lt;=0.55,"50~55",
J376&lt;=0.6,"55~60",
J376&lt;=0.65,"60~65",
J376&lt;=0.7,"65~70",
TRUE,"70~100"
)</f>
        <v/>
      </c>
      <c r="L376">
        <f>IF(H376&gt;=0.5,"HOME","AWAY")</f>
        <v/>
      </c>
      <c r="M376">
        <f>IF(AND(N376&lt;&gt;"", OR(N376=0, N376=1)), (J376-N376)^2, "")</f>
        <v/>
      </c>
      <c r="N376" t="n">
        <v>1</v>
      </c>
      <c r="O376">
        <f>IF(AND(N376&lt;&gt;"", OR(N376=0, N376=1)), IF(ROUND(H376,0)=N376, 1, 0), "")</f>
        <v/>
      </c>
    </row>
    <row r="377">
      <c r="A377" t="n">
        <v>20260436</v>
      </c>
      <c r="B377" t="inlineStr">
        <is>
          <t>2026-07-08</t>
        </is>
      </c>
      <c r="C377" t="inlineStr">
        <is>
          <t>두산</t>
        </is>
      </c>
      <c r="D377" t="inlineStr">
        <is>
          <t>SSG</t>
        </is>
      </c>
      <c r="E377" t="n">
        <v>6002</v>
      </c>
      <c r="F377" t="n">
        <v>9002</v>
      </c>
      <c r="G377" t="n">
        <v>79.36</v>
      </c>
      <c r="H377" t="n">
        <v>0.7935790443245425</v>
      </c>
      <c r="I377" t="inlineStr">
        <is>
          <t>elo_sp</t>
        </is>
      </c>
      <c r="J377">
        <f>MAX(H377,1-H377)</f>
        <v/>
      </c>
      <c r="K377">
        <f>_xlfn.IFS(
J377&lt;=0.55,"50~55",
J377&lt;=0.6,"55~60",
J377&lt;=0.65,"60~65",
J377&lt;=0.7,"65~70",
TRUE,"70~100"
)</f>
        <v/>
      </c>
      <c r="L377">
        <f>IF(H377&gt;=0.5,"HOME","AWAY")</f>
        <v/>
      </c>
      <c r="M377">
        <f>IF(AND(N377&lt;&gt;"", OR(N377=0, N377=1)), (J377-N377)^2, "")</f>
        <v/>
      </c>
      <c r="N377" t="n">
        <v>1</v>
      </c>
      <c r="O377">
        <f>IF(AND(N377&lt;&gt;"", OR(N377=0, N377=1)), IF(ROUND(H377,0)=N377, 1, 0), "")</f>
        <v/>
      </c>
    </row>
    <row r="378">
      <c r="A378" t="n">
        <v>20260437</v>
      </c>
      <c r="B378" t="inlineStr">
        <is>
          <t>2026-07-08</t>
        </is>
      </c>
      <c r="C378" t="inlineStr">
        <is>
          <t>KT</t>
        </is>
      </c>
      <c r="D378" t="inlineStr">
        <is>
          <t>키움</t>
        </is>
      </c>
      <c r="E378" t="n">
        <v>12001</v>
      </c>
      <c r="F378" t="n">
        <v>10001</v>
      </c>
      <c r="G378" t="n">
        <v>61.47</v>
      </c>
      <c r="H378" t="n">
        <v>0.6147455121596511</v>
      </c>
      <c r="I378" t="inlineStr">
        <is>
          <t>elo_sp</t>
        </is>
      </c>
      <c r="J378">
        <f>MAX(H378,1-H378)</f>
        <v/>
      </c>
      <c r="K378">
        <f>_xlfn.IFS(
J378&lt;=0.55,"50~55",
J378&lt;=0.6,"55~60",
J378&lt;=0.65,"60~65",
J378&lt;=0.7,"65~70",
TRUE,"70~100"
)</f>
        <v/>
      </c>
      <c r="L378">
        <f>IF(H378&gt;=0.5,"HOME","AWAY")</f>
        <v/>
      </c>
      <c r="M378">
        <f>IF(AND(N378&lt;&gt;"", OR(N378=0, N378=1)), (J378-N378)^2, "")</f>
        <v/>
      </c>
      <c r="N378" t="n">
        <v>1</v>
      </c>
      <c r="O378">
        <f>IF(AND(N378&lt;&gt;"", OR(N378=0, N378=1)), IF(ROUND(H378,0)=N378, 1, 0), "")</f>
        <v/>
      </c>
    </row>
    <row r="379">
      <c r="A379" t="n">
        <v>20260438</v>
      </c>
      <c r="B379" t="inlineStr">
        <is>
          <t>2026-07-08</t>
        </is>
      </c>
      <c r="C379" t="inlineStr">
        <is>
          <t>한화</t>
        </is>
      </c>
      <c r="D379" t="inlineStr">
        <is>
          <t>NC</t>
        </is>
      </c>
      <c r="E379" t="n">
        <v>7002</v>
      </c>
      <c r="F379" t="n">
        <v>11001</v>
      </c>
      <c r="G379" t="n">
        <v>55.07</v>
      </c>
      <c r="H379" t="n">
        <v>0.5507059434608977</v>
      </c>
      <c r="I379" t="inlineStr">
        <is>
          <t>elo_sp</t>
        </is>
      </c>
      <c r="J379">
        <f>MAX(H379,1-H379)</f>
        <v/>
      </c>
      <c r="K379">
        <f>_xlfn.IFS(
J379&lt;=0.55,"50~55",
J379&lt;=0.6,"55~60",
J379&lt;=0.65,"60~65",
J379&lt;=0.7,"65~70",
TRUE,"70~100"
)</f>
        <v/>
      </c>
      <c r="L379">
        <f>IF(H379&gt;=0.5,"HOME","AWAY")</f>
        <v/>
      </c>
      <c r="M379">
        <f>IF(AND(N379&lt;&gt;"", OR(N379=0, N379=1)), (J379-N379)^2, "")</f>
        <v/>
      </c>
      <c r="N379" t="inlineStr">
        <is>
          <t>cancel</t>
        </is>
      </c>
      <c r="O379">
        <f>IF(AND(N379&lt;&gt;"", OR(N379=0, N379=1)), IF(ROUND(H379,0)=N379, 1, 0), "")</f>
        <v/>
      </c>
    </row>
    <row r="380">
      <c r="A380" t="n">
        <v>20260439</v>
      </c>
      <c r="B380" t="inlineStr">
        <is>
          <t>2026-07-08</t>
        </is>
      </c>
      <c r="C380" t="inlineStr">
        <is>
          <t>삼성</t>
        </is>
      </c>
      <c r="D380" t="inlineStr">
        <is>
          <t>LG</t>
        </is>
      </c>
      <c r="E380" t="n">
        <v>1001</v>
      </c>
      <c r="F380" t="n">
        <v>5002</v>
      </c>
      <c r="G380" t="n">
        <v>43.05</v>
      </c>
      <c r="H380" t="n">
        <v>0.4304932685587216</v>
      </c>
      <c r="I380" t="inlineStr">
        <is>
          <t>elo_sp</t>
        </is>
      </c>
      <c r="J380">
        <f>MAX(H380,1-H380)</f>
        <v/>
      </c>
      <c r="K380">
        <f>_xlfn.IFS(
J380&lt;=0.55,"50~55",
J380&lt;=0.6,"55~60",
J380&lt;=0.65,"60~65",
J380&lt;=0.7,"65~70",
TRUE,"70~100"
)</f>
        <v/>
      </c>
      <c r="L380">
        <f>IF(H380&gt;=0.5,"HOME","AWAY")</f>
        <v/>
      </c>
      <c r="M380">
        <f>IF(AND(N380&lt;&gt;"", OR(N380=0, N380=1)), (J380-N380)^2, "")</f>
        <v/>
      </c>
      <c r="N380" t="n">
        <v>0</v>
      </c>
      <c r="O380">
        <f>IF(AND(N380&lt;&gt;"", OR(N380=0, N380=1)), IF(ROUND(H380,0)=N380, 1, 0), "")</f>
        <v/>
      </c>
    </row>
    <row r="381">
      <c r="A381" t="n">
        <v>20260440</v>
      </c>
      <c r="B381" t="inlineStr">
        <is>
          <t>2026-07-08</t>
        </is>
      </c>
      <c r="C381" t="inlineStr">
        <is>
          <t>롯데</t>
        </is>
      </c>
      <c r="D381" t="inlineStr">
        <is>
          <t>KIA</t>
        </is>
      </c>
      <c r="E381" t="n">
        <v>3001</v>
      </c>
      <c r="F381" t="n">
        <v>2002</v>
      </c>
      <c r="G381" t="n">
        <v>42.42</v>
      </c>
      <c r="H381" t="n">
        <v>0.4242279126984554</v>
      </c>
      <c r="I381" t="inlineStr">
        <is>
          <t>elo_sp</t>
        </is>
      </c>
      <c r="J381">
        <f>MAX(H381,1-H381)</f>
        <v/>
      </c>
      <c r="K381">
        <f>_xlfn.IFS(
J381&lt;=0.55,"50~55",
J381&lt;=0.6,"55~60",
J381&lt;=0.65,"60~65",
J381&lt;=0.7,"65~70",
TRUE,"70~100"
)</f>
        <v/>
      </c>
      <c r="L381">
        <f>IF(H381&gt;=0.5,"HOME","AWAY")</f>
        <v/>
      </c>
      <c r="M381">
        <f>IF(AND(N381&lt;&gt;"", OR(N381=0, N381=1)), (J381-N381)^2, "")</f>
        <v/>
      </c>
      <c r="N381" t="n">
        <v>1</v>
      </c>
      <c r="O381">
        <f>IF(AND(N381&lt;&gt;"", OR(N381=0, N381=1)), IF(ROUND(H381,0)=N381, 1, 0), "")</f>
        <v/>
      </c>
    </row>
    <row r="382">
      <c r="A382" t="n">
        <v>20260441</v>
      </c>
      <c r="B382" t="inlineStr">
        <is>
          <t>2026-07-09</t>
        </is>
      </c>
      <c r="C382" t="inlineStr">
        <is>
          <t>두산</t>
        </is>
      </c>
      <c r="D382" t="inlineStr">
        <is>
          <t>SSG</t>
        </is>
      </c>
      <c r="E382" t="n">
        <v>6002</v>
      </c>
      <c r="F382" t="n">
        <v>9002</v>
      </c>
      <c r="G382" t="n">
        <v>68.94</v>
      </c>
      <c r="H382" t="n">
        <v>0.6894339409218871</v>
      </c>
      <c r="I382" t="inlineStr">
        <is>
          <t>elo_sp</t>
        </is>
      </c>
      <c r="J382">
        <f>MAX(H382,1-H382)</f>
        <v/>
      </c>
      <c r="K382">
        <f>_xlfn.IFS(
J382&lt;=0.55,"50~55",
J382&lt;=0.6,"55~60",
J382&lt;=0.65,"60~65",
J382&lt;=0.7,"65~70",
TRUE,"70~100"
)</f>
        <v/>
      </c>
      <c r="L382">
        <f>IF(H382&gt;=0.5,"HOME","AWAY")</f>
        <v/>
      </c>
      <c r="M382">
        <f>IF(AND(N382&lt;&gt;"", OR(N382=0, N382=1)), (J382-N382)^2, "")</f>
        <v/>
      </c>
      <c r="N382" t="n">
        <v>1</v>
      </c>
      <c r="O382">
        <f>IF(AND(N382&lt;&gt;"", OR(N382=0, N382=1)), IF(ROUND(H382,0)=N382, 1, 0), "")</f>
        <v/>
      </c>
    </row>
    <row r="383">
      <c r="A383" t="n">
        <v>20260442</v>
      </c>
      <c r="B383" t="inlineStr">
        <is>
          <t>2026-07-09</t>
        </is>
      </c>
      <c r="C383" t="inlineStr">
        <is>
          <t>KT</t>
        </is>
      </c>
      <c r="D383" t="inlineStr">
        <is>
          <t>키움</t>
        </is>
      </c>
      <c r="E383" t="n">
        <v>12001</v>
      </c>
      <c r="F383" t="n">
        <v>10001</v>
      </c>
      <c r="G383" t="n">
        <v>58.3</v>
      </c>
      <c r="H383" t="n">
        <v>0.5829923007223874</v>
      </c>
      <c r="I383" t="inlineStr">
        <is>
          <t>elo_sp</t>
        </is>
      </c>
      <c r="J383">
        <f>MAX(H383,1-H383)</f>
        <v/>
      </c>
      <c r="K383">
        <f>_xlfn.IFS(
J383&lt;=0.55,"50~55",
J383&lt;=0.6,"55~60",
J383&lt;=0.65,"60~65",
J383&lt;=0.7,"65~70",
TRUE,"70~100"
)</f>
        <v/>
      </c>
      <c r="L383">
        <f>IF(H383&gt;=0.5,"HOME","AWAY")</f>
        <v/>
      </c>
      <c r="M383">
        <f>IF(AND(N383&lt;&gt;"", OR(N383=0, N383=1)), (J383-N383)^2, "")</f>
        <v/>
      </c>
      <c r="N383" t="inlineStr">
        <is>
          <t>cancel</t>
        </is>
      </c>
      <c r="O383">
        <f>IF(AND(N383&lt;&gt;"", OR(N383=0, N383=1)), IF(ROUND(H383,0)=N383, 1, 0), "")</f>
        <v/>
      </c>
    </row>
    <row r="384">
      <c r="A384" t="n">
        <v>20260443</v>
      </c>
      <c r="B384" t="inlineStr">
        <is>
          <t>2026-07-09</t>
        </is>
      </c>
      <c r="C384" t="inlineStr">
        <is>
          <t>한화</t>
        </is>
      </c>
      <c r="D384" t="inlineStr">
        <is>
          <t>NC</t>
        </is>
      </c>
      <c r="E384" t="n">
        <v>7002</v>
      </c>
      <c r="F384" t="n">
        <v>11001</v>
      </c>
      <c r="G384" t="n">
        <v>53.53</v>
      </c>
      <c r="H384" t="n">
        <v>0.5352959447227447</v>
      </c>
      <c r="I384" t="inlineStr">
        <is>
          <t>elo_sp</t>
        </is>
      </c>
      <c r="J384">
        <f>MAX(H384,1-H384)</f>
        <v/>
      </c>
      <c r="K384">
        <f>_xlfn.IFS(
J384&lt;=0.55,"50~55",
J384&lt;=0.6,"55~60",
J384&lt;=0.65,"60~65",
J384&lt;=0.7,"65~70",
TRUE,"70~100"
)</f>
        <v/>
      </c>
      <c r="L384">
        <f>IF(H384&gt;=0.5,"HOME","AWAY")</f>
        <v/>
      </c>
      <c r="M384">
        <f>IF(AND(N384&lt;&gt;"", OR(N384=0, N384=1)), (J384-N384)^2, "")</f>
        <v/>
      </c>
      <c r="N384" t="n">
        <v>1</v>
      </c>
      <c r="O384">
        <f>IF(AND(N384&lt;&gt;"", OR(N384=0, N384=1)), IF(ROUND(H384,0)=N384, 1, 0), "")</f>
        <v/>
      </c>
    </row>
    <row r="385">
      <c r="A385" t="n">
        <v>20260444</v>
      </c>
      <c r="B385" t="inlineStr">
        <is>
          <t>2026-07-09</t>
        </is>
      </c>
      <c r="C385" t="inlineStr">
        <is>
          <t>삼성</t>
        </is>
      </c>
      <c r="D385" t="inlineStr">
        <is>
          <t>LG</t>
        </is>
      </c>
      <c r="E385" t="n">
        <v>1001</v>
      </c>
      <c r="F385" t="n">
        <v>5002</v>
      </c>
      <c r="G385" t="n">
        <v>49.47</v>
      </c>
      <c r="H385" t="n">
        <v>0.4946605351350138</v>
      </c>
      <c r="I385" t="inlineStr">
        <is>
          <t>elo_sp</t>
        </is>
      </c>
      <c r="J385">
        <f>MAX(H385,1-H385)</f>
        <v/>
      </c>
      <c r="K385">
        <f>_xlfn.IFS(
J385&lt;=0.55,"50~55",
J385&lt;=0.6,"55~60",
J385&lt;=0.65,"60~65",
J385&lt;=0.7,"65~70",
TRUE,"70~100"
)</f>
        <v/>
      </c>
      <c r="L385">
        <f>IF(H385&gt;=0.5,"HOME","AWAY")</f>
        <v/>
      </c>
      <c r="M385">
        <f>IF(AND(N385&lt;&gt;"", OR(N385=0, N385=1)), (J385-N385)^2, "")</f>
        <v/>
      </c>
      <c r="N385" t="n">
        <v>1</v>
      </c>
      <c r="O385">
        <f>IF(AND(N385&lt;&gt;"", OR(N385=0, N385=1)), IF(ROUND(H385,0)=N385, 1, 0), "")</f>
        <v/>
      </c>
    </row>
    <row r="386">
      <c r="A386" t="n">
        <v>20260445</v>
      </c>
      <c r="B386" t="inlineStr">
        <is>
          <t>2026-07-09</t>
        </is>
      </c>
      <c r="C386" t="inlineStr">
        <is>
          <t>롯데</t>
        </is>
      </c>
      <c r="D386" t="inlineStr">
        <is>
          <t>KIA</t>
        </is>
      </c>
      <c r="E386" t="n">
        <v>3001</v>
      </c>
      <c r="F386" t="n">
        <v>2002</v>
      </c>
      <c r="G386" t="n">
        <v>62.36</v>
      </c>
      <c r="H386" t="n">
        <v>0.6236192461138091</v>
      </c>
      <c r="I386" t="inlineStr">
        <is>
          <t>elo_sp</t>
        </is>
      </c>
      <c r="J386">
        <f>MAX(H386,1-H386)</f>
        <v/>
      </c>
      <c r="K386">
        <f>_xlfn.IFS(
J386&lt;=0.55,"50~55",
J386&lt;=0.6,"55~60",
J386&lt;=0.65,"60~65",
J386&lt;=0.7,"65~70",
TRUE,"70~100"
)</f>
        <v/>
      </c>
      <c r="L386">
        <f>IF(H386&gt;=0.5,"HOME","AWAY")</f>
        <v/>
      </c>
      <c r="M386">
        <f>IF(AND(N386&lt;&gt;"", OR(N386=0, N386=1)), (J386-N386)^2, "")</f>
        <v/>
      </c>
      <c r="N386" t="n">
        <v>0</v>
      </c>
      <c r="O386">
        <f>IF(AND(N386&lt;&gt;"", OR(N386=0, N386=1)), IF(ROUND(H386,0)=N386, 1, 0), "")</f>
        <v/>
      </c>
    </row>
    <row r="387">
      <c r="A387" t="n">
        <v>20260446</v>
      </c>
      <c r="B387" t="inlineStr">
        <is>
          <t>2026-07-16</t>
        </is>
      </c>
      <c r="C387" t="inlineStr">
        <is>
          <t>LG</t>
        </is>
      </c>
      <c r="D387" t="inlineStr">
        <is>
          <t>KT</t>
        </is>
      </c>
      <c r="E387" t="n">
        <v>5002</v>
      </c>
      <c r="F387" t="n">
        <v>12001</v>
      </c>
      <c r="G387" t="n">
        <v>53.72</v>
      </c>
      <c r="H387" t="n">
        <v>0.5372374278347484</v>
      </c>
      <c r="I387" t="inlineStr">
        <is>
          <t>elo_sp</t>
        </is>
      </c>
      <c r="J387">
        <f>MAX(H387,1-H387)</f>
        <v/>
      </c>
      <c r="K387">
        <f>_xlfn.IFS(
J387&lt;=0.55,"50~55",
J387&lt;=0.6,"55~60",
J387&lt;=0.65,"60~65",
J387&lt;=0.7,"65~70",
TRUE,"70~100"
)</f>
        <v/>
      </c>
      <c r="L387">
        <f>IF(H387&gt;=0.5,"HOME","AWAY")</f>
        <v/>
      </c>
      <c r="M387">
        <f>IF(AND(N387&lt;&gt;"", OR(N387=0, N387=1)), (J387-N387)^2, "")</f>
        <v/>
      </c>
      <c r="N387" t="n">
        <v>0</v>
      </c>
      <c r="O387">
        <f>IF(AND(N387&lt;&gt;"", OR(N387=0, N387=1)), IF(ROUND(H387,0)=N387, 1, 0), "")</f>
        <v/>
      </c>
    </row>
    <row r="388">
      <c r="A388" t="n">
        <v>20260447</v>
      </c>
      <c r="B388" t="inlineStr">
        <is>
          <t>2026-07-16</t>
        </is>
      </c>
      <c r="C388" t="inlineStr">
        <is>
          <t>SSG</t>
        </is>
      </c>
      <c r="D388" t="inlineStr">
        <is>
          <t>KIA</t>
        </is>
      </c>
      <c r="E388" t="n">
        <v>9002</v>
      </c>
      <c r="F388" t="n">
        <v>2002</v>
      </c>
      <c r="G388" t="n">
        <v>31.09</v>
      </c>
      <c r="H388" t="n">
        <v>0.3108671565453269</v>
      </c>
      <c r="I388" t="inlineStr">
        <is>
          <t>elo_sp</t>
        </is>
      </c>
      <c r="J388">
        <f>MAX(H388,1-H388)</f>
        <v/>
      </c>
      <c r="K388">
        <f>_xlfn.IFS(
J388&lt;=0.55,"50~55",
J388&lt;=0.6,"55~60",
J388&lt;=0.65,"60~65",
J388&lt;=0.7,"65~70",
TRUE,"70~100"
)</f>
        <v/>
      </c>
      <c r="L388">
        <f>IF(H388&gt;=0.5,"HOME","AWAY")</f>
        <v/>
      </c>
      <c r="M388">
        <f>IF(AND(N388&lt;&gt;"", OR(N388=0, N388=1)), (J388-N388)^2, "")</f>
        <v/>
      </c>
      <c r="N388" t="n">
        <v>1</v>
      </c>
      <c r="O388">
        <f>IF(AND(N388&lt;&gt;"", OR(N388=0, N388=1)), IF(ROUND(H388,0)=N388, 1, 0), "")</f>
        <v/>
      </c>
    </row>
    <row r="389">
      <c r="A389" t="n">
        <v>20260448</v>
      </c>
      <c r="B389" t="inlineStr">
        <is>
          <t>2026-07-16</t>
        </is>
      </c>
      <c r="C389" t="inlineStr">
        <is>
          <t>한화</t>
        </is>
      </c>
      <c r="D389" t="inlineStr">
        <is>
          <t>키움</t>
        </is>
      </c>
      <c r="E389" t="n">
        <v>7002</v>
      </c>
      <c r="F389" t="n">
        <v>10001</v>
      </c>
      <c r="G389" t="n">
        <v>64.22</v>
      </c>
      <c r="H389" t="n">
        <v>0.6422227154593626</v>
      </c>
      <c r="I389" t="inlineStr">
        <is>
          <t>elo_sp</t>
        </is>
      </c>
      <c r="J389">
        <f>MAX(H389,1-H389)</f>
        <v/>
      </c>
      <c r="K389">
        <f>_xlfn.IFS(
J389&lt;=0.55,"50~55",
J389&lt;=0.6,"55~60",
J389&lt;=0.65,"60~65",
J389&lt;=0.7,"65~70",
TRUE,"70~100"
)</f>
        <v/>
      </c>
      <c r="L389">
        <f>IF(H389&gt;=0.5,"HOME","AWAY")</f>
        <v/>
      </c>
      <c r="M389">
        <f>IF(AND(N389&lt;&gt;"", OR(N389=0, N389=1)), (J389-N389)^2, "")</f>
        <v/>
      </c>
      <c r="N389" t="n">
        <v>0</v>
      </c>
      <c r="O389">
        <f>IF(AND(N389&lt;&gt;"", OR(N389=0, N389=1)), IF(ROUND(H389,0)=N389, 1, 0), "")</f>
        <v/>
      </c>
    </row>
    <row r="390">
      <c r="A390" t="n">
        <v>20260449</v>
      </c>
      <c r="B390" t="inlineStr">
        <is>
          <t>2026-07-16</t>
        </is>
      </c>
      <c r="C390" t="inlineStr">
        <is>
          <t>삼성</t>
        </is>
      </c>
      <c r="D390" t="inlineStr">
        <is>
          <t>롯데</t>
        </is>
      </c>
      <c r="E390" t="n">
        <v>1001</v>
      </c>
      <c r="F390" t="n">
        <v>3001</v>
      </c>
      <c r="G390" t="n">
        <v>40.6</v>
      </c>
      <c r="H390" t="n">
        <v>0.4060485158609815</v>
      </c>
      <c r="I390" t="inlineStr">
        <is>
          <t>elo_sp</t>
        </is>
      </c>
      <c r="J390">
        <f>MAX(H390,1-H390)</f>
        <v/>
      </c>
      <c r="K390">
        <f>_xlfn.IFS(
J390&lt;=0.55,"50~55",
J390&lt;=0.6,"55~60",
J390&lt;=0.65,"60~65",
J390&lt;=0.7,"65~70",
TRUE,"70~100"
)</f>
        <v/>
      </c>
      <c r="L390">
        <f>IF(H390&gt;=0.5,"HOME","AWAY")</f>
        <v/>
      </c>
      <c r="M390">
        <f>IF(AND(N390&lt;&gt;"", OR(N390=0, N390=1)), (J390-N390)^2, "")</f>
        <v/>
      </c>
      <c r="N390" t="n">
        <v>1</v>
      </c>
      <c r="O390">
        <f>IF(AND(N390&lt;&gt;"", OR(N390=0, N390=1)), IF(ROUND(H390,0)=N390, 1, 0), "")</f>
        <v/>
      </c>
    </row>
    <row r="391">
      <c r="A391" t="n">
        <v>20260450</v>
      </c>
      <c r="B391" t="inlineStr">
        <is>
          <t>2026-07-16</t>
        </is>
      </c>
      <c r="C391" t="inlineStr">
        <is>
          <t>NC</t>
        </is>
      </c>
      <c r="D391" t="inlineStr">
        <is>
          <t>두산</t>
        </is>
      </c>
      <c r="E391" t="n">
        <v>11001</v>
      </c>
      <c r="F391" t="n">
        <v>6002</v>
      </c>
      <c r="G391" t="n">
        <v>52.77</v>
      </c>
      <c r="H391" t="n">
        <v>0.5276554158362103</v>
      </c>
      <c r="I391" t="inlineStr">
        <is>
          <t>elo_sp</t>
        </is>
      </c>
      <c r="J391">
        <f>MAX(H391,1-H391)</f>
        <v/>
      </c>
      <c r="K391">
        <f>_xlfn.IFS(
J391&lt;=0.55,"50~55",
J391&lt;=0.6,"55~60",
J391&lt;=0.65,"60~65",
J391&lt;=0.7,"65~70",
TRUE,"70~100"
)</f>
        <v/>
      </c>
      <c r="L391">
        <f>IF(H391&gt;=0.5,"HOME","AWAY")</f>
        <v/>
      </c>
      <c r="M391">
        <f>IF(AND(N391&lt;&gt;"", OR(N391=0, N391=1)), (J391-N391)^2, "")</f>
        <v/>
      </c>
      <c r="N391" t="n">
        <v>1</v>
      </c>
      <c r="O391">
        <f>IF(AND(N391&lt;&gt;"", OR(N391=0, N391=1)), IF(ROUND(H391,0)=N391, 1, 0), "")</f>
        <v/>
      </c>
    </row>
    <row r="392">
      <c r="A392" t="n">
        <v>20260451</v>
      </c>
      <c r="B392" t="inlineStr">
        <is>
          <t>2026-07-17</t>
        </is>
      </c>
      <c r="C392" t="inlineStr">
        <is>
          <t>LG</t>
        </is>
      </c>
      <c r="D392" t="inlineStr">
        <is>
          <t>KT</t>
        </is>
      </c>
      <c r="E392" t="n">
        <v>5002</v>
      </c>
      <c r="F392" t="n">
        <v>12001</v>
      </c>
      <c r="G392" t="n">
        <v>39.44</v>
      </c>
      <c r="H392" t="n">
        <v>0.3943538546945125</v>
      </c>
      <c r="I392" t="inlineStr">
        <is>
          <t>elo_sp</t>
        </is>
      </c>
      <c r="J392">
        <f>MAX(H392,1-H392)</f>
        <v/>
      </c>
      <c r="K392">
        <f>_xlfn.IFS(
J392&lt;=0.55,"50~55",
J392&lt;=0.6,"55~60",
J392&lt;=0.65,"60~65",
J392&lt;=0.7,"65~70",
TRUE,"70~100"
)</f>
        <v/>
      </c>
      <c r="L392">
        <f>IF(H392&gt;=0.5,"HOME","AWAY")</f>
        <v/>
      </c>
      <c r="M392">
        <f>IF(AND(N392&lt;&gt;"", OR(N392=0, N392=1)), (J392-N392)^2, "")</f>
        <v/>
      </c>
      <c r="N392" t="n">
        <v>0</v>
      </c>
      <c r="O392">
        <f>IF(AND(N392&lt;&gt;"", OR(N392=0, N392=1)), IF(ROUND(H392,0)=N392, 1, 0), "")</f>
        <v/>
      </c>
    </row>
    <row r="393">
      <c r="A393" t="n">
        <v>20260452</v>
      </c>
      <c r="B393" t="inlineStr">
        <is>
          <t>2026-07-17</t>
        </is>
      </c>
      <c r="C393" t="inlineStr">
        <is>
          <t>SSG</t>
        </is>
      </c>
      <c r="D393" t="inlineStr">
        <is>
          <t>KIA</t>
        </is>
      </c>
      <c r="E393" t="n">
        <v>9002</v>
      </c>
      <c r="F393" t="n">
        <v>2002</v>
      </c>
      <c r="G393" t="n">
        <v>57.72</v>
      </c>
      <c r="H393" t="n">
        <v>0.5772134643763694</v>
      </c>
      <c r="I393" t="inlineStr">
        <is>
          <t>elo_sp</t>
        </is>
      </c>
      <c r="J393">
        <f>MAX(H393,1-H393)</f>
        <v/>
      </c>
      <c r="K393">
        <f>_xlfn.IFS(
J393&lt;=0.55,"50~55",
J393&lt;=0.6,"55~60",
J393&lt;=0.65,"60~65",
J393&lt;=0.7,"65~70",
TRUE,"70~100"
)</f>
        <v/>
      </c>
      <c r="L393">
        <f>IF(H393&gt;=0.5,"HOME","AWAY")</f>
        <v/>
      </c>
      <c r="M393">
        <f>IF(AND(N393&lt;&gt;"", OR(N393=0, N393=1)), (J393-N393)^2, "")</f>
        <v/>
      </c>
      <c r="N393" t="n">
        <v>0</v>
      </c>
      <c r="O393">
        <f>IF(AND(N393&lt;&gt;"", OR(N393=0, N393=1)), IF(ROUND(H393,0)=N393, 1, 0), "")</f>
        <v/>
      </c>
    </row>
    <row r="394">
      <c r="A394" t="n">
        <v>20260453</v>
      </c>
      <c r="B394" t="inlineStr">
        <is>
          <t>2026-07-17</t>
        </is>
      </c>
      <c r="C394" t="inlineStr">
        <is>
          <t>한화</t>
        </is>
      </c>
      <c r="D394" t="inlineStr">
        <is>
          <t>키움</t>
        </is>
      </c>
      <c r="E394" t="n">
        <v>7002</v>
      </c>
      <c r="F394" t="n">
        <v>10001</v>
      </c>
      <c r="G394" t="n">
        <v>54.92</v>
      </c>
      <c r="H394" t="n">
        <v>0.5491968736215119</v>
      </c>
      <c r="I394" t="inlineStr">
        <is>
          <t>elo_sp</t>
        </is>
      </c>
      <c r="J394">
        <f>MAX(H394,1-H394)</f>
        <v/>
      </c>
      <c r="K394">
        <f>_xlfn.IFS(
J394&lt;=0.55,"50~55",
J394&lt;=0.6,"55~60",
J394&lt;=0.65,"60~65",
J394&lt;=0.7,"65~70",
TRUE,"70~100"
)</f>
        <v/>
      </c>
      <c r="L394">
        <f>IF(H394&gt;=0.5,"HOME","AWAY")</f>
        <v/>
      </c>
      <c r="M394">
        <f>IF(AND(N394&lt;&gt;"", OR(N394=0, N394=1)), (J394-N394)^2, "")</f>
        <v/>
      </c>
      <c r="N394" t="n">
        <v>0</v>
      </c>
      <c r="O394">
        <f>IF(AND(N394&lt;&gt;"", OR(N394=0, N394=1)), IF(ROUND(H394,0)=N394, 1, 0), "")</f>
        <v/>
      </c>
    </row>
    <row r="395">
      <c r="A395" t="n">
        <v>20260454</v>
      </c>
      <c r="B395" t="inlineStr">
        <is>
          <t>2026-07-17</t>
        </is>
      </c>
      <c r="C395" t="inlineStr">
        <is>
          <t>삼성</t>
        </is>
      </c>
      <c r="D395" t="inlineStr">
        <is>
          <t>롯데</t>
        </is>
      </c>
      <c r="E395" t="n">
        <v>1001</v>
      </c>
      <c r="F395" t="n">
        <v>3001</v>
      </c>
      <c r="G395" t="n">
        <v>52.13</v>
      </c>
      <c r="H395" t="n">
        <v>0.5213383694722645</v>
      </c>
      <c r="I395" t="inlineStr">
        <is>
          <t>elo_sp</t>
        </is>
      </c>
      <c r="J395">
        <f>MAX(H395,1-H395)</f>
        <v/>
      </c>
      <c r="K395">
        <f>_xlfn.IFS(
J395&lt;=0.55,"50~55",
J395&lt;=0.6,"55~60",
J395&lt;=0.65,"60~65",
J395&lt;=0.7,"65~70",
TRUE,"70~100"
)</f>
        <v/>
      </c>
      <c r="L395">
        <f>IF(H395&gt;=0.5,"HOME","AWAY")</f>
        <v/>
      </c>
      <c r="M395">
        <f>IF(AND(N395&lt;&gt;"", OR(N395=0, N395=1)), (J395-N395)^2, "")</f>
        <v/>
      </c>
      <c r="N395" t="inlineStr">
        <is>
          <t>cancel</t>
        </is>
      </c>
      <c r="O395">
        <f>IF(AND(N395&lt;&gt;"", OR(N395=0, N395=1)), IF(ROUND(H395,0)=N395, 1, 0), "")</f>
        <v/>
      </c>
    </row>
    <row r="396">
      <c r="A396" t="n">
        <v>20260455</v>
      </c>
      <c r="B396" t="inlineStr">
        <is>
          <t>2026-07-17</t>
        </is>
      </c>
      <c r="C396" t="inlineStr">
        <is>
          <t>NC</t>
        </is>
      </c>
      <c r="D396" t="inlineStr">
        <is>
          <t>두산</t>
        </is>
      </c>
      <c r="E396" t="n">
        <v>11001</v>
      </c>
      <c r="F396" t="n">
        <v>6002</v>
      </c>
      <c r="G396" t="n">
        <v>35.99</v>
      </c>
      <c r="H396" t="n">
        <v>0.3599282775304991</v>
      </c>
      <c r="I396" t="inlineStr">
        <is>
          <t>elo_sp</t>
        </is>
      </c>
      <c r="J396">
        <f>MAX(H396,1-H396)</f>
        <v/>
      </c>
      <c r="K396">
        <f>_xlfn.IFS(
J396&lt;=0.55,"50~55",
J396&lt;=0.6,"55~60",
J396&lt;=0.65,"60~65",
J396&lt;=0.7,"65~70",
TRUE,"70~100"
)</f>
        <v/>
      </c>
      <c r="L396">
        <f>IF(H396&gt;=0.5,"HOME","AWAY")</f>
        <v/>
      </c>
      <c r="M396">
        <f>IF(AND(N396&lt;&gt;"", OR(N396=0, N396=1)), (J396-N396)^2, "")</f>
        <v/>
      </c>
      <c r="N396" t="n">
        <v>0</v>
      </c>
      <c r="O396">
        <f>IF(AND(N396&lt;&gt;"", OR(N396=0, N396=1)), IF(ROUND(H396,0)=N396, 1, 0), "")</f>
        <v/>
      </c>
    </row>
    <row r="397">
      <c r="A397" t="n">
        <v>20260456</v>
      </c>
      <c r="B397" t="inlineStr">
        <is>
          <t>2026-07-18</t>
        </is>
      </c>
      <c r="C397" t="inlineStr">
        <is>
          <t>LG</t>
        </is>
      </c>
      <c r="D397" t="inlineStr">
        <is>
          <t>KT</t>
        </is>
      </c>
      <c r="E397" t="n">
        <v>5002</v>
      </c>
      <c r="F397" t="n">
        <v>12001</v>
      </c>
      <c r="G397" t="n">
        <v>47.58</v>
      </c>
      <c r="H397" t="n">
        <v>0.4757542993428413</v>
      </c>
      <c r="I397" t="inlineStr">
        <is>
          <t>elo_sp</t>
        </is>
      </c>
      <c r="J397">
        <f>MAX(H397,1-H397)</f>
        <v/>
      </c>
      <c r="K397">
        <f>_xlfn.IFS(
J397&lt;=0.55,"50~55",
J397&lt;=0.6,"55~60",
J397&lt;=0.65,"60~65",
J397&lt;=0.7,"65~70",
TRUE,"70~100"
)</f>
        <v/>
      </c>
      <c r="L397">
        <f>IF(H397&gt;=0.5,"HOME","AWAY")</f>
        <v/>
      </c>
      <c r="M397">
        <f>IF(AND(N397&lt;&gt;"", OR(N397=0, N397=1)), (J397-N397)^2, "")</f>
        <v/>
      </c>
      <c r="N397" t="n">
        <v>0</v>
      </c>
      <c r="O397">
        <f>IF(AND(N397&lt;&gt;"", OR(N397=0, N397=1)), IF(ROUND(H397,0)=N397, 1, 0), "")</f>
        <v/>
      </c>
    </row>
    <row r="398">
      <c r="A398" t="n">
        <v>20260457</v>
      </c>
      <c r="B398" t="inlineStr">
        <is>
          <t>2026-07-18</t>
        </is>
      </c>
      <c r="C398" t="inlineStr">
        <is>
          <t>SSG</t>
        </is>
      </c>
      <c r="D398" t="inlineStr">
        <is>
          <t>KIA</t>
        </is>
      </c>
      <c r="E398" t="n">
        <v>9002</v>
      </c>
      <c r="F398" t="n">
        <v>2002</v>
      </c>
      <c r="G398" t="n">
        <v>36.12</v>
      </c>
      <c r="H398" t="n">
        <v>0.3611664680814391</v>
      </c>
      <c r="I398" t="inlineStr">
        <is>
          <t>elo_sp</t>
        </is>
      </c>
      <c r="J398">
        <f>MAX(H398,1-H398)</f>
        <v/>
      </c>
      <c r="K398">
        <f>_xlfn.IFS(
J398&lt;=0.55,"50~55",
J398&lt;=0.6,"55~60",
J398&lt;=0.65,"60~65",
J398&lt;=0.7,"65~70",
TRUE,"70~100"
)</f>
        <v/>
      </c>
      <c r="L398">
        <f>IF(H398&gt;=0.5,"HOME","AWAY")</f>
        <v/>
      </c>
      <c r="M398">
        <f>IF(AND(N398&lt;&gt;"", OR(N398=0, N398=1)), (J398-N398)^2, "")</f>
        <v/>
      </c>
      <c r="N398" t="n">
        <v>0</v>
      </c>
      <c r="O398">
        <f>IF(AND(N398&lt;&gt;"", OR(N398=0, N398=1)), IF(ROUND(H398,0)=N398, 1, 0), "")</f>
        <v/>
      </c>
    </row>
    <row r="399">
      <c r="A399" t="n">
        <v>20260458</v>
      </c>
      <c r="B399" t="inlineStr">
        <is>
          <t>2026-07-18</t>
        </is>
      </c>
      <c r="C399" t="inlineStr">
        <is>
          <t>한화</t>
        </is>
      </c>
      <c r="D399" t="inlineStr">
        <is>
          <t>키움</t>
        </is>
      </c>
      <c r="E399" t="n">
        <v>7002</v>
      </c>
      <c r="F399" t="n">
        <v>10001</v>
      </c>
      <c r="G399" t="n">
        <v>36.28</v>
      </c>
      <c r="H399" t="n">
        <v>0.3628032661980033</v>
      </c>
      <c r="I399" t="inlineStr">
        <is>
          <t>elo_sp</t>
        </is>
      </c>
      <c r="J399">
        <f>MAX(H399,1-H399)</f>
        <v/>
      </c>
      <c r="K399">
        <f>_xlfn.IFS(
J399&lt;=0.55,"50~55",
J399&lt;=0.6,"55~60",
J399&lt;=0.65,"60~65",
J399&lt;=0.7,"65~70",
TRUE,"70~100"
)</f>
        <v/>
      </c>
      <c r="L399">
        <f>IF(H399&gt;=0.5,"HOME","AWAY")</f>
        <v/>
      </c>
      <c r="M399">
        <f>IF(AND(N399&lt;&gt;"", OR(N399=0, N399=1)), (J399-N399)^2, "")</f>
        <v/>
      </c>
      <c r="N399" t="n">
        <v>0</v>
      </c>
      <c r="O399">
        <f>IF(AND(N399&lt;&gt;"", OR(N399=0, N399=1)), IF(ROUND(H399,0)=N399, 1, 0), "")</f>
        <v/>
      </c>
    </row>
    <row r="400">
      <c r="A400" t="n">
        <v>20260459</v>
      </c>
      <c r="B400" t="inlineStr">
        <is>
          <t>2026-07-18</t>
        </is>
      </c>
      <c r="C400" t="inlineStr">
        <is>
          <t>삼성</t>
        </is>
      </c>
      <c r="D400" t="inlineStr">
        <is>
          <t>롯데</t>
        </is>
      </c>
      <c r="E400" t="n">
        <v>1001</v>
      </c>
      <c r="F400" t="n">
        <v>3001</v>
      </c>
      <c r="G400" t="n">
        <v>37.2</v>
      </c>
      <c r="H400" t="n">
        <v>0.372001481857663</v>
      </c>
      <c r="I400" t="inlineStr">
        <is>
          <t>elo_sp</t>
        </is>
      </c>
      <c r="J400">
        <f>MAX(H400,1-H400)</f>
        <v/>
      </c>
      <c r="K400">
        <f>_xlfn.IFS(
J400&lt;=0.55,"50~55",
J400&lt;=0.6,"55~60",
J400&lt;=0.65,"60~65",
J400&lt;=0.7,"65~70",
TRUE,"70~100"
)</f>
        <v/>
      </c>
      <c r="L400">
        <f>IF(H400&gt;=0.5,"HOME","AWAY")</f>
        <v/>
      </c>
      <c r="M400">
        <f>IF(AND(N400&lt;&gt;"", OR(N400=0, N400=1)), (J400-N400)^2, "")</f>
        <v/>
      </c>
      <c r="N400" t="n">
        <v>1</v>
      </c>
      <c r="O400">
        <f>IF(AND(N400&lt;&gt;"", OR(N400=0, N400=1)), IF(ROUND(H400,0)=N400, 1, 0), "")</f>
        <v/>
      </c>
    </row>
    <row r="401">
      <c r="A401" t="n">
        <v>20260460</v>
      </c>
      <c r="B401" t="inlineStr">
        <is>
          <t>2026-07-18</t>
        </is>
      </c>
      <c r="C401" t="inlineStr">
        <is>
          <t>NC</t>
        </is>
      </c>
      <c r="D401" t="inlineStr">
        <is>
          <t>두산</t>
        </is>
      </c>
      <c r="E401" t="n">
        <v>11001</v>
      </c>
      <c r="F401" t="n">
        <v>6002</v>
      </c>
      <c r="G401" t="n">
        <v>48.93</v>
      </c>
      <c r="H401" t="n">
        <v>0.4893477798755986</v>
      </c>
      <c r="I401" t="inlineStr">
        <is>
          <t>elo_sp</t>
        </is>
      </c>
      <c r="J401">
        <f>MAX(H401,1-H401)</f>
        <v/>
      </c>
      <c r="K401">
        <f>_xlfn.IFS(
J401&lt;=0.55,"50~55",
J401&lt;=0.6,"55~60",
J401&lt;=0.65,"60~65",
J401&lt;=0.7,"65~70",
TRUE,"70~100"
)</f>
        <v/>
      </c>
      <c r="L401">
        <f>IF(H401&gt;=0.5,"HOME","AWAY")</f>
        <v/>
      </c>
      <c r="M401">
        <f>IF(AND(N401&lt;&gt;"", OR(N401=0, N401=1)), (J401-N401)^2, "")</f>
        <v/>
      </c>
      <c r="N401" t="n">
        <v>0</v>
      </c>
      <c r="O401">
        <f>IF(AND(N401&lt;&gt;"", OR(N401=0, N401=1)), IF(ROUND(H401,0)=N401, 1, 0), "")</f>
        <v/>
      </c>
    </row>
    <row r="402">
      <c r="A402" t="n">
        <v>20260461</v>
      </c>
      <c r="B402" t="inlineStr">
        <is>
          <t>2026-07-19</t>
        </is>
      </c>
      <c r="C402" t="inlineStr">
        <is>
          <t>LG</t>
        </is>
      </c>
      <c r="D402" t="inlineStr">
        <is>
          <t>KT</t>
        </is>
      </c>
      <c r="E402" t="n">
        <v>5002</v>
      </c>
      <c r="F402" t="n">
        <v>12001</v>
      </c>
      <c r="G402" t="n">
        <v>35.25</v>
      </c>
      <c r="H402" t="n">
        <v>0.3525404153253947</v>
      </c>
      <c r="I402" t="inlineStr">
        <is>
          <t>elo_sp</t>
        </is>
      </c>
      <c r="J402">
        <f>MAX(H402,1-H402)</f>
        <v/>
      </c>
      <c r="K402">
        <f>_xlfn.IFS(
J402&lt;=0.55,"50~55",
J402&lt;=0.6,"55~60",
J402&lt;=0.65,"60~65",
J402&lt;=0.7,"65~70",
TRUE,"70~100"
)</f>
        <v/>
      </c>
      <c r="L402">
        <f>IF(H402&gt;=0.5,"HOME","AWAY")</f>
        <v/>
      </c>
      <c r="M402">
        <f>IF(AND(N402&lt;&gt;"", OR(N402=0, N402=1)), (J402-N402)^2, "")</f>
        <v/>
      </c>
      <c r="N402" t="n">
        <v>0</v>
      </c>
      <c r="O402">
        <f>IF(AND(N402&lt;&gt;"", OR(N402=0, N402=1)), IF(ROUND(H402,0)=N402, 1, 0), "")</f>
        <v/>
      </c>
    </row>
    <row r="403">
      <c r="A403" t="n">
        <v>20260462</v>
      </c>
      <c r="B403" t="inlineStr">
        <is>
          <t>2026-07-19</t>
        </is>
      </c>
      <c r="C403" t="inlineStr">
        <is>
          <t>SSG</t>
        </is>
      </c>
      <c r="D403" t="inlineStr">
        <is>
          <t>KIA</t>
        </is>
      </c>
      <c r="E403" t="n">
        <v>9002</v>
      </c>
      <c r="F403" t="n">
        <v>2002</v>
      </c>
      <c r="G403" t="n">
        <v>42.2</v>
      </c>
      <c r="H403" t="n">
        <v>0.422019334890119</v>
      </c>
      <c r="I403" t="inlineStr">
        <is>
          <t>elo_sp</t>
        </is>
      </c>
      <c r="J403">
        <f>MAX(H403,1-H403)</f>
        <v/>
      </c>
      <c r="K403">
        <f>_xlfn.IFS(
J403&lt;=0.55,"50~55",
J403&lt;=0.6,"55~60",
J403&lt;=0.65,"60~65",
J403&lt;=0.7,"65~70",
TRUE,"70~100"
)</f>
        <v/>
      </c>
      <c r="L403">
        <f>IF(H403&gt;=0.5,"HOME","AWAY")</f>
        <v/>
      </c>
      <c r="M403">
        <f>IF(AND(N403&lt;&gt;"", OR(N403=0, N403=1)), (J403-N403)^2, "")</f>
        <v/>
      </c>
      <c r="N403" t="n">
        <v>0</v>
      </c>
      <c r="O403">
        <f>IF(AND(N403&lt;&gt;"", OR(N403=0, N403=1)), IF(ROUND(H403,0)=N403, 1, 0), "")</f>
        <v/>
      </c>
    </row>
    <row r="404">
      <c r="A404" t="n">
        <v>20260463</v>
      </c>
      <c r="B404" t="inlineStr">
        <is>
          <t>2026-07-19</t>
        </is>
      </c>
      <c r="C404" t="inlineStr">
        <is>
          <t>한화</t>
        </is>
      </c>
      <c r="D404" t="inlineStr">
        <is>
          <t>키움</t>
        </is>
      </c>
      <c r="E404" t="n">
        <v>7002</v>
      </c>
      <c r="F404" t="n">
        <v>10001</v>
      </c>
      <c r="G404" t="n">
        <v>59.34</v>
      </c>
      <c r="H404" t="n">
        <v>0.5933691721145147</v>
      </c>
      <c r="I404" t="inlineStr">
        <is>
          <t>elo_sp</t>
        </is>
      </c>
      <c r="J404">
        <f>MAX(H404,1-H404)</f>
        <v/>
      </c>
      <c r="K404">
        <f>_xlfn.IFS(
J404&lt;=0.55,"50~55",
J404&lt;=0.6,"55~60",
J404&lt;=0.65,"60~65",
J404&lt;=0.7,"65~70",
TRUE,"70~100"
)</f>
        <v/>
      </c>
      <c r="L404">
        <f>IF(H404&gt;=0.5,"HOME","AWAY")</f>
        <v/>
      </c>
      <c r="M404">
        <f>IF(AND(N404&lt;&gt;"", OR(N404=0, N404=1)), (J404-N404)^2, "")</f>
        <v/>
      </c>
      <c r="N404" t="inlineStr">
        <is>
          <t>draw</t>
        </is>
      </c>
      <c r="O404">
        <f>IF(AND(N404&lt;&gt;"", OR(N404=0, N404=1)), IF(ROUND(H404,0)=N404, 1, 0), "")</f>
        <v/>
      </c>
    </row>
    <row r="405">
      <c r="A405" t="n">
        <v>20260464</v>
      </c>
      <c r="B405" t="inlineStr">
        <is>
          <t>2026-07-19</t>
        </is>
      </c>
      <c r="C405" t="inlineStr">
        <is>
          <t>삼성</t>
        </is>
      </c>
      <c r="D405" t="inlineStr">
        <is>
          <t>롯데</t>
        </is>
      </c>
      <c r="E405" t="n">
        <v>1001</v>
      </c>
      <c r="F405" t="n">
        <v>3001</v>
      </c>
      <c r="G405" t="n">
        <v>52.33</v>
      </c>
      <c r="H405" t="n">
        <v>0.5233001343303049</v>
      </c>
      <c r="I405" t="inlineStr">
        <is>
          <t>elo_sp</t>
        </is>
      </c>
      <c r="J405">
        <f>MAX(H405,1-H405)</f>
        <v/>
      </c>
      <c r="K405">
        <f>_xlfn.IFS(
J405&lt;=0.55,"50~55",
J405&lt;=0.6,"55~60",
J405&lt;=0.65,"60~65",
J405&lt;=0.7,"65~70",
TRUE,"70~100"
)</f>
        <v/>
      </c>
      <c r="L405">
        <f>IF(H405&gt;=0.5,"HOME","AWAY")</f>
        <v/>
      </c>
      <c r="M405">
        <f>IF(AND(N405&lt;&gt;"", OR(N405=0, N405=1)), (J405-N405)^2, "")</f>
        <v/>
      </c>
      <c r="N405" t="n">
        <v>0</v>
      </c>
      <c r="O405">
        <f>IF(AND(N405&lt;&gt;"", OR(N405=0, N405=1)), IF(ROUND(H405,0)=N405, 1, 0), "")</f>
        <v/>
      </c>
    </row>
    <row r="406">
      <c r="A406" t="n">
        <v>20260465</v>
      </c>
      <c r="B406" t="inlineStr">
        <is>
          <t>2026-07-19</t>
        </is>
      </c>
      <c r="C406" t="inlineStr">
        <is>
          <t>NC</t>
        </is>
      </c>
      <c r="D406" t="inlineStr">
        <is>
          <t>두산</t>
        </is>
      </c>
      <c r="E406" t="n">
        <v>11001</v>
      </c>
      <c r="F406" t="n">
        <v>6002</v>
      </c>
      <c r="G406" t="n">
        <v>51.63</v>
      </c>
      <c r="H406" t="n">
        <v>0.5162612495209554</v>
      </c>
      <c r="I406" t="inlineStr">
        <is>
          <t>elo_sp</t>
        </is>
      </c>
      <c r="J406">
        <f>MAX(H406,1-H406)</f>
        <v/>
      </c>
      <c r="K406">
        <f>_xlfn.IFS(
J406&lt;=0.55,"50~55",
J406&lt;=0.6,"55~60",
J406&lt;=0.65,"60~65",
J406&lt;=0.7,"65~70",
TRUE,"70~100"
)</f>
        <v/>
      </c>
      <c r="L406">
        <f>IF(H406&gt;=0.5,"HOME","AWAY")</f>
        <v/>
      </c>
      <c r="M406">
        <f>IF(AND(N406&lt;&gt;"", OR(N406=0, N406=1)), (J406-N406)^2, "")</f>
        <v/>
      </c>
      <c r="N406" t="n">
        <v>0</v>
      </c>
      <c r="O406">
        <f>IF(AND(N406&lt;&gt;"", OR(N406=0, N406=1)), IF(ROUND(H406,0)=N406, 1, 0), "")</f>
        <v/>
      </c>
    </row>
    <row r="407">
      <c r="A407" t="n">
        <v>20260466</v>
      </c>
      <c r="B407" t="inlineStr">
        <is>
          <t>2026-07-21</t>
        </is>
      </c>
      <c r="C407" t="inlineStr">
        <is>
          <t>LG</t>
        </is>
      </c>
      <c r="D407" t="inlineStr">
        <is>
          <t>NC</t>
        </is>
      </c>
      <c r="E407" t="n">
        <v>5002</v>
      </c>
      <c r="F407" t="n">
        <v>11001</v>
      </c>
      <c r="G407" t="n">
        <v>59.87</v>
      </c>
      <c r="H407" t="n">
        <v>0.5986595944030526</v>
      </c>
      <c r="I407" t="inlineStr">
        <is>
          <t>elo_sp</t>
        </is>
      </c>
    </row>
    <row r="408">
      <c r="A408" t="n">
        <v>20260467</v>
      </c>
      <c r="B408" t="inlineStr">
        <is>
          <t>2026-07-21</t>
        </is>
      </c>
      <c r="C408" t="inlineStr">
        <is>
          <t>키움</t>
        </is>
      </c>
      <c r="D408" t="inlineStr">
        <is>
          <t>삼성</t>
        </is>
      </c>
      <c r="E408" t="n">
        <v>10001</v>
      </c>
      <c r="F408" t="n">
        <v>1001</v>
      </c>
      <c r="G408" t="n">
        <v>43.54</v>
      </c>
      <c r="H408" t="n">
        <v>0.4354378365657506</v>
      </c>
      <c r="I408" t="inlineStr">
        <is>
          <t>elo_sp</t>
        </is>
      </c>
    </row>
    <row r="409">
      <c r="A409" t="n">
        <v>20260468</v>
      </c>
      <c r="B409" t="inlineStr">
        <is>
          <t>2026-07-21</t>
        </is>
      </c>
      <c r="C409" t="inlineStr">
        <is>
          <t>KT</t>
        </is>
      </c>
      <c r="D409" t="inlineStr">
        <is>
          <t>두산</t>
        </is>
      </c>
      <c r="E409" t="n">
        <v>12001</v>
      </c>
      <c r="F409" t="n">
        <v>6002</v>
      </c>
      <c r="G409" t="n">
        <v>41.61</v>
      </c>
      <c r="H409" t="n">
        <v>0.4161459001617368</v>
      </c>
      <c r="I409" t="inlineStr">
        <is>
          <t>elo_sp</t>
        </is>
      </c>
    </row>
    <row r="410">
      <c r="A410" t="n">
        <v>20260469</v>
      </c>
      <c r="B410" t="inlineStr">
        <is>
          <t>2026-07-21</t>
        </is>
      </c>
      <c r="C410" t="inlineStr">
        <is>
          <t>KIA</t>
        </is>
      </c>
      <c r="D410" t="inlineStr">
        <is>
          <t>한화</t>
        </is>
      </c>
      <c r="E410" t="n">
        <v>2002</v>
      </c>
      <c r="F410" t="n">
        <v>7002</v>
      </c>
      <c r="G410" t="n">
        <v>59</v>
      </c>
      <c r="H410" t="n">
        <v>0.5900440905761937</v>
      </c>
      <c r="I410" t="inlineStr">
        <is>
          <t>elo_sp</t>
        </is>
      </c>
    </row>
    <row r="411">
      <c r="A411" t="n">
        <v>20260470</v>
      </c>
      <c r="B411" t="inlineStr">
        <is>
          <t>2026-07-21</t>
        </is>
      </c>
      <c r="C411" t="inlineStr">
        <is>
          <t>롯데</t>
        </is>
      </c>
      <c r="D411" t="inlineStr">
        <is>
          <t>SSG</t>
        </is>
      </c>
      <c r="E411" t="n">
        <v>3001</v>
      </c>
      <c r="F411" t="n">
        <v>9002</v>
      </c>
      <c r="G411" t="n">
        <v>71.84</v>
      </c>
      <c r="H411" t="n">
        <v>0.7183855574926976</v>
      </c>
      <c r="I411" t="inlineStr">
        <is>
          <t>elo_sp</t>
        </is>
      </c>
    </row>
    <row r="412">
      <c r="A412" t="n">
        <v>20260471</v>
      </c>
      <c r="B412" t="inlineStr">
        <is>
          <t>2026-07-22</t>
        </is>
      </c>
      <c r="C412" t="inlineStr">
        <is>
          <t>LG</t>
        </is>
      </c>
      <c r="D412" t="inlineStr">
        <is>
          <t>NC</t>
        </is>
      </c>
      <c r="E412" t="n">
        <v>5002</v>
      </c>
      <c r="F412" t="n">
        <v>11001</v>
      </c>
      <c r="G412" t="n">
        <v>39.12</v>
      </c>
      <c r="H412" t="n">
        <v>0.3912203327133324</v>
      </c>
      <c r="I412" t="inlineStr">
        <is>
          <t>elo_sp</t>
        </is>
      </c>
    </row>
    <row r="413">
      <c r="A413" t="n">
        <v>20260472</v>
      </c>
      <c r="B413" t="inlineStr">
        <is>
          <t>2026-07-22</t>
        </is>
      </c>
      <c r="C413" t="inlineStr">
        <is>
          <t>키움</t>
        </is>
      </c>
      <c r="D413" t="inlineStr">
        <is>
          <t>삼성</t>
        </is>
      </c>
      <c r="E413" t="n">
        <v>10001</v>
      </c>
      <c r="F413" t="n">
        <v>1001</v>
      </c>
      <c r="G413" t="n">
        <v>41.6</v>
      </c>
      <c r="H413" t="n">
        <v>0.4160083420476642</v>
      </c>
      <c r="I413" t="inlineStr">
        <is>
          <t>elo_sp</t>
        </is>
      </c>
    </row>
    <row r="414">
      <c r="A414" t="n">
        <v>20260473</v>
      </c>
      <c r="B414" t="inlineStr">
        <is>
          <t>2026-07-22</t>
        </is>
      </c>
      <c r="C414" t="inlineStr">
        <is>
          <t>KT</t>
        </is>
      </c>
      <c r="D414" t="inlineStr">
        <is>
          <t>두산</t>
        </is>
      </c>
      <c r="E414" t="n">
        <v>12001</v>
      </c>
      <c r="F414" t="n">
        <v>6002</v>
      </c>
      <c r="G414" t="n">
        <v>35.66</v>
      </c>
      <c r="H414" t="n">
        <v>0.3566305575925217</v>
      </c>
      <c r="I414" t="inlineStr">
        <is>
          <t>elo_sp</t>
        </is>
      </c>
    </row>
    <row r="415">
      <c r="A415" t="n">
        <v>20260474</v>
      </c>
      <c r="B415" t="inlineStr">
        <is>
          <t>2026-07-22</t>
        </is>
      </c>
      <c r="C415" t="inlineStr">
        <is>
          <t>KIA</t>
        </is>
      </c>
      <c r="D415" t="inlineStr">
        <is>
          <t>한화</t>
        </is>
      </c>
      <c r="E415" t="n">
        <v>2002</v>
      </c>
      <c r="F415" t="n">
        <v>7002</v>
      </c>
      <c r="G415" t="n">
        <v>61.14</v>
      </c>
      <c r="H415" t="n">
        <v>0.6114291907340329</v>
      </c>
      <c r="I415" t="inlineStr">
        <is>
          <t>elo_sp</t>
        </is>
      </c>
    </row>
    <row r="416">
      <c r="A416" t="n">
        <v>20260475</v>
      </c>
      <c r="B416" t="inlineStr">
        <is>
          <t>2026-07-22</t>
        </is>
      </c>
      <c r="C416" t="inlineStr">
        <is>
          <t>롯데</t>
        </is>
      </c>
      <c r="D416" t="inlineStr">
        <is>
          <t>SSG</t>
        </is>
      </c>
      <c r="E416" t="n">
        <v>3001</v>
      </c>
      <c r="F416" t="n">
        <v>9002</v>
      </c>
      <c r="G416" t="n">
        <v>32.03</v>
      </c>
      <c r="H416" t="n">
        <v>0.3203346304267696</v>
      </c>
      <c r="I416" t="inlineStr">
        <is>
          <t>elo_sp</t>
        </is>
      </c>
    </row>
    <row r="417">
      <c r="A417" t="n">
        <v>20260476</v>
      </c>
      <c r="B417" t="inlineStr">
        <is>
          <t>2026-07-23</t>
        </is>
      </c>
      <c r="C417" t="inlineStr">
        <is>
          <t>LG</t>
        </is>
      </c>
      <c r="D417" t="inlineStr">
        <is>
          <t>NC</t>
        </is>
      </c>
      <c r="E417" t="n">
        <v>5002</v>
      </c>
      <c r="F417" t="n">
        <v>11001</v>
      </c>
      <c r="G417" t="n">
        <v>64.66</v>
      </c>
      <c r="H417" t="n">
        <v>0.6465738306464205</v>
      </c>
      <c r="I417" t="inlineStr">
        <is>
          <t>elo_sp</t>
        </is>
      </c>
    </row>
    <row r="418">
      <c r="A418" t="n">
        <v>20260477</v>
      </c>
      <c r="B418" t="inlineStr">
        <is>
          <t>2026-07-23</t>
        </is>
      </c>
      <c r="C418" t="inlineStr">
        <is>
          <t>키움</t>
        </is>
      </c>
      <c r="D418" t="inlineStr">
        <is>
          <t>삼성</t>
        </is>
      </c>
      <c r="E418" t="n">
        <v>10001</v>
      </c>
      <c r="F418" t="n">
        <v>1001</v>
      </c>
      <c r="G418" t="n">
        <v>44.18</v>
      </c>
      <c r="H418" t="n">
        <v>0.441826229453102</v>
      </c>
      <c r="I418" t="inlineStr">
        <is>
          <t>elo_sp</t>
        </is>
      </c>
    </row>
    <row r="419">
      <c r="A419" t="n">
        <v>20260478</v>
      </c>
      <c r="B419" t="inlineStr">
        <is>
          <t>2026-07-23</t>
        </is>
      </c>
      <c r="C419" t="inlineStr">
        <is>
          <t>KT</t>
        </is>
      </c>
      <c r="D419" t="inlineStr">
        <is>
          <t>두산</t>
        </is>
      </c>
      <c r="E419" t="n">
        <v>12001</v>
      </c>
      <c r="F419" t="n">
        <v>6002</v>
      </c>
      <c r="G419" t="n">
        <v>36.32</v>
      </c>
      <c r="H419" t="n">
        <v>0.3632482330130907</v>
      </c>
      <c r="I419" t="inlineStr">
        <is>
          <t>elo_sp</t>
        </is>
      </c>
    </row>
    <row r="420">
      <c r="A420" t="n">
        <v>20260479</v>
      </c>
      <c r="B420" t="inlineStr">
        <is>
          <t>2026-07-23</t>
        </is>
      </c>
      <c r="C420" t="inlineStr">
        <is>
          <t>KIA</t>
        </is>
      </c>
      <c r="D420" t="inlineStr">
        <is>
          <t>한화</t>
        </is>
      </c>
      <c r="E420" t="n">
        <v>2002</v>
      </c>
      <c r="F420" t="n">
        <v>7002</v>
      </c>
      <c r="G420" t="n">
        <v>51.27</v>
      </c>
      <c r="H420" t="n">
        <v>0.5127150556853164</v>
      </c>
      <c r="I420" t="inlineStr">
        <is>
          <t>elo_sp</t>
        </is>
      </c>
    </row>
    <row r="421">
      <c r="A421" t="n">
        <v>20260480</v>
      </c>
      <c r="B421" t="inlineStr">
        <is>
          <t>2026-07-23</t>
        </is>
      </c>
      <c r="C421" t="inlineStr">
        <is>
          <t>롯데</t>
        </is>
      </c>
      <c r="D421" t="inlineStr">
        <is>
          <t>SSG</t>
        </is>
      </c>
      <c r="E421" t="n">
        <v>3001</v>
      </c>
      <c r="F421" t="n">
        <v>9002</v>
      </c>
      <c r="G421" t="n">
        <v>66.25</v>
      </c>
      <c r="H421" t="n">
        <v>0.6625068016972206</v>
      </c>
      <c r="I421" t="inlineStr">
        <is>
          <t>elo_sp</t>
        </is>
      </c>
    </row>
    <row r="422">
      <c r="A422" t="n">
        <v>20260481</v>
      </c>
      <c r="B422" t="inlineStr">
        <is>
          <t>2026-07-24</t>
        </is>
      </c>
      <c r="C422" t="inlineStr">
        <is>
          <t>두산</t>
        </is>
      </c>
      <c r="D422" t="inlineStr">
        <is>
          <t>삼성</t>
        </is>
      </c>
      <c r="E422" t="n">
        <v>6002</v>
      </c>
      <c r="F422" t="n">
        <v>1001</v>
      </c>
      <c r="G422" t="n">
        <v>35.4</v>
      </c>
      <c r="H422" t="n">
        <v>0.3540229299219233</v>
      </c>
      <c r="I422" t="inlineStr">
        <is>
          <t>elo_sp</t>
        </is>
      </c>
    </row>
    <row r="423">
      <c r="A423" t="n">
        <v>20260482</v>
      </c>
      <c r="B423" t="inlineStr">
        <is>
          <t>2026-07-24</t>
        </is>
      </c>
      <c r="C423" t="inlineStr">
        <is>
          <t>SSG</t>
        </is>
      </c>
      <c r="D423" t="inlineStr">
        <is>
          <t>NC</t>
        </is>
      </c>
      <c r="E423" t="n">
        <v>9002</v>
      </c>
      <c r="F423" t="n">
        <v>11001</v>
      </c>
      <c r="G423" t="n">
        <v>18.96</v>
      </c>
      <c r="H423" t="n">
        <v>0.1895991159720816</v>
      </c>
      <c r="I423" t="inlineStr">
        <is>
          <t>elo_sp</t>
        </is>
      </c>
    </row>
    <row r="424">
      <c r="A424" t="n">
        <v>20260483</v>
      </c>
      <c r="B424" t="inlineStr">
        <is>
          <t>2026-07-24</t>
        </is>
      </c>
      <c r="C424" t="inlineStr">
        <is>
          <t>한화</t>
        </is>
      </c>
      <c r="D424" t="inlineStr">
        <is>
          <t>LG</t>
        </is>
      </c>
      <c r="E424" t="n">
        <v>7002</v>
      </c>
      <c r="F424" t="n">
        <v>5002</v>
      </c>
      <c r="G424" t="n">
        <v>44.58</v>
      </c>
      <c r="H424" t="n">
        <v>0.4458372280451909</v>
      </c>
      <c r="I424" t="inlineStr">
        <is>
          <t>elo_sp</t>
        </is>
      </c>
    </row>
    <row r="425">
      <c r="A425" t="n">
        <v>20260484</v>
      </c>
      <c r="B425" t="inlineStr">
        <is>
          <t>2026-07-24</t>
        </is>
      </c>
      <c r="C425" t="inlineStr">
        <is>
          <t>KIA</t>
        </is>
      </c>
      <c r="D425" t="inlineStr">
        <is>
          <t>키움</t>
        </is>
      </c>
      <c r="E425" t="n">
        <v>2002</v>
      </c>
      <c r="F425" t="n">
        <v>10001</v>
      </c>
      <c r="G425" t="n">
        <v>45.16</v>
      </c>
      <c r="H425" t="n">
        <v>0.4515619641569611</v>
      </c>
      <c r="I425" t="inlineStr">
        <is>
          <t>elo_sp</t>
        </is>
      </c>
    </row>
    <row r="426">
      <c r="A426" t="n">
        <v>20260485</v>
      </c>
      <c r="B426" t="inlineStr">
        <is>
          <t>2026-07-24</t>
        </is>
      </c>
      <c r="C426" t="inlineStr">
        <is>
          <t>롯데</t>
        </is>
      </c>
      <c r="D426" t="inlineStr">
        <is>
          <t>KT</t>
        </is>
      </c>
      <c r="E426" t="n">
        <v>3001</v>
      </c>
      <c r="F426" t="n">
        <v>12001</v>
      </c>
      <c r="G426" t="n">
        <v>38.43</v>
      </c>
      <c r="H426" t="n">
        <v>0.384260168266669</v>
      </c>
      <c r="I426" t="inlineStr">
        <is>
          <t>elo_sp</t>
        </is>
      </c>
    </row>
    <row r="427">
      <c r="A427" t="n">
        <v>20260486</v>
      </c>
      <c r="B427" t="inlineStr">
        <is>
          <t>2026-07-25</t>
        </is>
      </c>
      <c r="C427" t="inlineStr">
        <is>
          <t>두산</t>
        </is>
      </c>
      <c r="D427" t="inlineStr">
        <is>
          <t>삼성</t>
        </is>
      </c>
      <c r="E427" t="n">
        <v>6002</v>
      </c>
      <c r="F427" t="n">
        <v>1001</v>
      </c>
      <c r="G427" t="n">
        <v>52.51</v>
      </c>
      <c r="H427" t="n">
        <v>0.525091459300247</v>
      </c>
      <c r="I427" t="inlineStr">
        <is>
          <t>elo_sp</t>
        </is>
      </c>
    </row>
    <row r="428">
      <c r="A428" t="n">
        <v>20260487</v>
      </c>
      <c r="B428" t="inlineStr">
        <is>
          <t>2026-07-25</t>
        </is>
      </c>
      <c r="C428" t="inlineStr">
        <is>
          <t>SSG</t>
        </is>
      </c>
      <c r="D428" t="inlineStr">
        <is>
          <t>NC</t>
        </is>
      </c>
      <c r="E428" t="n">
        <v>9002</v>
      </c>
      <c r="F428" t="n">
        <v>11001</v>
      </c>
      <c r="G428" t="n">
        <v>40.2</v>
      </c>
      <c r="H428" t="n">
        <v>0.4019917627444344</v>
      </c>
      <c r="I428" t="inlineStr">
        <is>
          <t>elo_sp</t>
        </is>
      </c>
    </row>
    <row r="429">
      <c r="A429" t="n">
        <v>20260488</v>
      </c>
      <c r="B429" t="inlineStr">
        <is>
          <t>2026-07-25</t>
        </is>
      </c>
      <c r="C429" t="inlineStr">
        <is>
          <t>한화</t>
        </is>
      </c>
      <c r="D429" t="inlineStr">
        <is>
          <t>LG</t>
        </is>
      </c>
      <c r="E429" t="n">
        <v>7002</v>
      </c>
      <c r="F429" t="n">
        <v>5002</v>
      </c>
      <c r="G429" t="n">
        <v>64.22</v>
      </c>
      <c r="H429" t="n">
        <v>0.6421936768352337</v>
      </c>
      <c r="I429" t="inlineStr">
        <is>
          <t>elo_sp</t>
        </is>
      </c>
    </row>
    <row r="430">
      <c r="A430" t="n">
        <v>20260489</v>
      </c>
      <c r="B430" t="inlineStr">
        <is>
          <t>2026-07-25</t>
        </is>
      </c>
      <c r="C430" t="inlineStr">
        <is>
          <t>KIA</t>
        </is>
      </c>
      <c r="D430" t="inlineStr">
        <is>
          <t>키움</t>
        </is>
      </c>
      <c r="E430" t="n">
        <v>2002</v>
      </c>
      <c r="F430" t="n">
        <v>10001</v>
      </c>
      <c r="G430" t="n">
        <v>49.41</v>
      </c>
      <c r="H430" t="n">
        <v>0.494052660740354</v>
      </c>
      <c r="I430" t="inlineStr">
        <is>
          <t>elo_sp</t>
        </is>
      </c>
    </row>
    <row r="431">
      <c r="A431" t="n">
        <v>20260490</v>
      </c>
      <c r="B431" t="inlineStr">
        <is>
          <t>2026-07-25</t>
        </is>
      </c>
      <c r="C431" t="inlineStr">
        <is>
          <t>롯데</t>
        </is>
      </c>
      <c r="D431" t="inlineStr">
        <is>
          <t>KT</t>
        </is>
      </c>
      <c r="E431" t="n">
        <v>3001</v>
      </c>
      <c r="F431" t="n">
        <v>12001</v>
      </c>
      <c r="G431" t="n">
        <v>28.31</v>
      </c>
      <c r="H431" t="n">
        <v>0.2831394855780097</v>
      </c>
      <c r="I431" t="inlineStr">
        <is>
          <t>elo_sp</t>
        </is>
      </c>
    </row>
    <row r="432">
      <c r="A432" t="n">
        <v>20260491</v>
      </c>
      <c r="B432" t="inlineStr">
        <is>
          <t>2026-07-26</t>
        </is>
      </c>
      <c r="C432" t="inlineStr">
        <is>
          <t>두산</t>
        </is>
      </c>
      <c r="D432" t="inlineStr">
        <is>
          <t>삼성</t>
        </is>
      </c>
      <c r="E432" t="n">
        <v>6002</v>
      </c>
      <c r="F432" t="n">
        <v>1001</v>
      </c>
      <c r="G432" t="n">
        <v>62.52</v>
      </c>
      <c r="H432" t="n">
        <v>0.6251831852743143</v>
      </c>
      <c r="I432" t="inlineStr">
        <is>
          <t>elo_sp</t>
        </is>
      </c>
    </row>
    <row r="433">
      <c r="A433" t="n">
        <v>20260492</v>
      </c>
      <c r="B433" t="inlineStr">
        <is>
          <t>2026-07-26</t>
        </is>
      </c>
      <c r="C433" t="inlineStr">
        <is>
          <t>SSG</t>
        </is>
      </c>
      <c r="D433" t="inlineStr">
        <is>
          <t>NC</t>
        </is>
      </c>
      <c r="E433" t="n">
        <v>9002</v>
      </c>
      <c r="F433" t="n">
        <v>11001</v>
      </c>
      <c r="G433" t="n">
        <v>34.33</v>
      </c>
      <c r="H433" t="n">
        <v>0.3432962703897524</v>
      </c>
      <c r="I433" t="inlineStr">
        <is>
          <t>elo_sp</t>
        </is>
      </c>
    </row>
    <row r="434">
      <c r="A434" t="n">
        <v>20260493</v>
      </c>
      <c r="B434" t="inlineStr">
        <is>
          <t>2026-07-26</t>
        </is>
      </c>
      <c r="C434" t="inlineStr">
        <is>
          <t>한화</t>
        </is>
      </c>
      <c r="D434" t="inlineStr">
        <is>
          <t>LG</t>
        </is>
      </c>
      <c r="E434" t="n">
        <v>7002</v>
      </c>
      <c r="F434" t="n">
        <v>5002</v>
      </c>
      <c r="G434" t="n">
        <v>45.88</v>
      </c>
      <c r="H434" t="n">
        <v>0.4587689683721514</v>
      </c>
      <c r="I434" t="inlineStr">
        <is>
          <t>elo_sp</t>
        </is>
      </c>
    </row>
    <row r="435">
      <c r="A435" t="n">
        <v>20260494</v>
      </c>
      <c r="B435" t="inlineStr">
        <is>
          <t>2026-07-26</t>
        </is>
      </c>
      <c r="C435" t="inlineStr">
        <is>
          <t>KIA</t>
        </is>
      </c>
      <c r="D435" t="inlineStr">
        <is>
          <t>키움</t>
        </is>
      </c>
      <c r="E435" t="n">
        <v>2002</v>
      </c>
      <c r="F435" t="n">
        <v>10001</v>
      </c>
      <c r="G435" t="n">
        <v>60.33</v>
      </c>
      <c r="H435" t="n">
        <v>0.603271078395869</v>
      </c>
      <c r="I435" t="inlineStr">
        <is>
          <t>elo_sp</t>
        </is>
      </c>
    </row>
    <row r="436">
      <c r="A436" t="n">
        <v>20260495</v>
      </c>
      <c r="B436" t="inlineStr">
        <is>
          <t>2026-07-26</t>
        </is>
      </c>
      <c r="C436" t="inlineStr">
        <is>
          <t>롯데</t>
        </is>
      </c>
      <c r="D436" t="inlineStr">
        <is>
          <t>KT</t>
        </is>
      </c>
      <c r="E436" t="n">
        <v>3001</v>
      </c>
      <c r="F436" t="n">
        <v>12001</v>
      </c>
      <c r="G436" t="n">
        <v>52.77</v>
      </c>
      <c r="H436" t="n">
        <v>0.5276963378571831</v>
      </c>
      <c r="I436" t="inlineStr">
        <is>
          <t>elo_sp</t>
        </is>
      </c>
    </row>
    <row r="437">
      <c r="A437" t="n">
        <v>20260496</v>
      </c>
      <c r="B437" t="inlineStr">
        <is>
          <t>2026-07-28</t>
        </is>
      </c>
      <c r="C437" t="inlineStr">
        <is>
          <t>LG</t>
        </is>
      </c>
      <c r="D437" t="inlineStr">
        <is>
          <t>키움</t>
        </is>
      </c>
      <c r="E437" t="n">
        <v>5002</v>
      </c>
      <c r="F437" t="n">
        <v>10001</v>
      </c>
      <c r="G437" t="n">
        <v>77.41</v>
      </c>
      <c r="H437" t="n">
        <v>0.7741418224575924</v>
      </c>
      <c r="I437" t="inlineStr">
        <is>
          <t>elo_sp</t>
        </is>
      </c>
    </row>
    <row r="438">
      <c r="A438" t="n">
        <v>20260497</v>
      </c>
      <c r="B438" t="inlineStr">
        <is>
          <t>2026-07-28</t>
        </is>
      </c>
      <c r="C438" t="inlineStr">
        <is>
          <t>SSG</t>
        </is>
      </c>
      <c r="D438" t="inlineStr">
        <is>
          <t>두산</t>
        </is>
      </c>
      <c r="E438" t="n">
        <v>9002</v>
      </c>
      <c r="F438" t="n">
        <v>6002</v>
      </c>
      <c r="G438" t="n">
        <v>57.91</v>
      </c>
      <c r="H438" t="n">
        <v>0.5790972461086675</v>
      </c>
      <c r="I438" t="inlineStr">
        <is>
          <t>elo_sp</t>
        </is>
      </c>
    </row>
    <row r="439">
      <c r="A439" t="n">
        <v>20260498</v>
      </c>
      <c r="B439" t="inlineStr">
        <is>
          <t>2026-07-28</t>
        </is>
      </c>
      <c r="C439" t="inlineStr">
        <is>
          <t>한화</t>
        </is>
      </c>
      <c r="D439" t="inlineStr">
        <is>
          <t>롯데</t>
        </is>
      </c>
      <c r="E439" t="n">
        <v>7002</v>
      </c>
      <c r="F439" t="n">
        <v>3001</v>
      </c>
      <c r="G439" t="n">
        <v>54.1</v>
      </c>
      <c r="H439" t="n">
        <v>0.5410433231203617</v>
      </c>
      <c r="I439" t="inlineStr">
        <is>
          <t>elo_sp</t>
        </is>
      </c>
    </row>
    <row r="440">
      <c r="A440" t="n">
        <v>20260499</v>
      </c>
      <c r="B440" t="inlineStr">
        <is>
          <t>2026-07-28</t>
        </is>
      </c>
      <c r="C440" t="inlineStr">
        <is>
          <t>삼성</t>
        </is>
      </c>
      <c r="D440" t="inlineStr">
        <is>
          <t>KIA</t>
        </is>
      </c>
      <c r="E440" t="n">
        <v>1001</v>
      </c>
      <c r="F440" t="n">
        <v>2002</v>
      </c>
      <c r="G440" t="n">
        <v>42.53</v>
      </c>
      <c r="H440" t="n">
        <v>0.4252986760226383</v>
      </c>
      <c r="I440" t="inlineStr">
        <is>
          <t>elo_sp</t>
        </is>
      </c>
    </row>
    <row r="441">
      <c r="A441" t="n">
        <v>20260500</v>
      </c>
      <c r="B441" t="inlineStr">
        <is>
          <t>2026-07-28</t>
        </is>
      </c>
      <c r="C441" t="inlineStr">
        <is>
          <t>NC</t>
        </is>
      </c>
      <c r="D441" t="inlineStr">
        <is>
          <t>KT</t>
        </is>
      </c>
      <c r="E441" t="n">
        <v>11001</v>
      </c>
      <c r="F441" t="n">
        <v>12001</v>
      </c>
      <c r="G441" t="n">
        <v>25.8</v>
      </c>
      <c r="H441" t="n">
        <v>0.2580475953224836</v>
      </c>
      <c r="I441" t="inlineStr">
        <is>
          <t>elo_sp</t>
        </is>
      </c>
    </row>
    <row r="442">
      <c r="A442" t="n">
        <v>20260501</v>
      </c>
      <c r="B442" t="inlineStr">
        <is>
          <t>2026-07-29</t>
        </is>
      </c>
      <c r="C442" t="inlineStr">
        <is>
          <t>LG</t>
        </is>
      </c>
      <c r="D442" t="inlineStr">
        <is>
          <t>키움</t>
        </is>
      </c>
      <c r="E442" t="n">
        <v>5002</v>
      </c>
      <c r="F442" t="n">
        <v>10001</v>
      </c>
      <c r="G442" t="n">
        <v>51.38</v>
      </c>
      <c r="H442" t="n">
        <v>0.5137980288949178</v>
      </c>
      <c r="I442" t="inlineStr">
        <is>
          <t>elo_sp</t>
        </is>
      </c>
    </row>
    <row r="443">
      <c r="A443" t="n">
        <v>20260502</v>
      </c>
      <c r="B443" t="inlineStr">
        <is>
          <t>2026-07-29</t>
        </is>
      </c>
      <c r="C443" t="inlineStr">
        <is>
          <t>SSG</t>
        </is>
      </c>
      <c r="D443" t="inlineStr">
        <is>
          <t>두산</t>
        </is>
      </c>
      <c r="E443" t="n">
        <v>9002</v>
      </c>
      <c r="F443" t="n">
        <v>6002</v>
      </c>
      <c r="G443" t="n">
        <v>55.25</v>
      </c>
      <c r="H443" t="n">
        <v>0.5525072180497929</v>
      </c>
      <c r="I443" t="inlineStr">
        <is>
          <t>elo_sp</t>
        </is>
      </c>
    </row>
    <row r="444">
      <c r="A444" t="n">
        <v>20260503</v>
      </c>
      <c r="B444" t="inlineStr">
        <is>
          <t>2026-07-29</t>
        </is>
      </c>
      <c r="C444" t="inlineStr">
        <is>
          <t>한화</t>
        </is>
      </c>
      <c r="D444" t="inlineStr">
        <is>
          <t>롯데</t>
        </is>
      </c>
      <c r="E444" t="n">
        <v>7002</v>
      </c>
      <c r="F444" t="n">
        <v>3001</v>
      </c>
      <c r="G444" t="n">
        <v>45.89</v>
      </c>
      <c r="H444" t="n">
        <v>0.458924967127285</v>
      </c>
      <c r="I444" t="inlineStr">
        <is>
          <t>elo_sp</t>
        </is>
      </c>
    </row>
    <row r="445">
      <c r="A445" t="n">
        <v>20260504</v>
      </c>
      <c r="B445" t="inlineStr">
        <is>
          <t>2026-07-29</t>
        </is>
      </c>
      <c r="C445" t="inlineStr">
        <is>
          <t>삼성</t>
        </is>
      </c>
      <c r="D445" t="inlineStr">
        <is>
          <t>KIA</t>
        </is>
      </c>
      <c r="E445" t="n">
        <v>1001</v>
      </c>
      <c r="F445" t="n">
        <v>2002</v>
      </c>
      <c r="G445" t="n">
        <v>61.94</v>
      </c>
      <c r="H445" t="n">
        <v>0.6193515331913487</v>
      </c>
      <c r="I445" t="inlineStr">
        <is>
          <t>elo_sp</t>
        </is>
      </c>
    </row>
    <row r="446">
      <c r="A446" t="n">
        <v>20260505</v>
      </c>
      <c r="B446" t="inlineStr">
        <is>
          <t>2026-07-29</t>
        </is>
      </c>
      <c r="C446" t="inlineStr">
        <is>
          <t>NC</t>
        </is>
      </c>
      <c r="D446" t="inlineStr">
        <is>
          <t>KT</t>
        </is>
      </c>
      <c r="E446" t="n">
        <v>11001</v>
      </c>
      <c r="F446" t="n">
        <v>12001</v>
      </c>
      <c r="G446" t="n">
        <v>42.92</v>
      </c>
      <c r="H446" t="n">
        <v>0.4291556707334885</v>
      </c>
      <c r="I446" t="inlineStr">
        <is>
          <t>elo_sp</t>
        </is>
      </c>
    </row>
    <row r="447">
      <c r="A447" t="n">
        <v>20260506</v>
      </c>
      <c r="B447" t="inlineStr">
        <is>
          <t>2026-07-30</t>
        </is>
      </c>
      <c r="C447" t="inlineStr">
        <is>
          <t>LG</t>
        </is>
      </c>
      <c r="D447" t="inlineStr">
        <is>
          <t>키움</t>
        </is>
      </c>
      <c r="E447" t="n">
        <v>5002</v>
      </c>
      <c r="F447" t="n">
        <v>10001</v>
      </c>
      <c r="G447" t="n">
        <v>34.16</v>
      </c>
      <c r="H447" t="n">
        <v>0.3415935778681603</v>
      </c>
      <c r="I447" t="inlineStr">
        <is>
          <t>elo_sp</t>
        </is>
      </c>
    </row>
    <row r="448">
      <c r="A448" t="n">
        <v>20260507</v>
      </c>
      <c r="B448" t="inlineStr">
        <is>
          <t>2026-07-30</t>
        </is>
      </c>
      <c r="C448" t="inlineStr">
        <is>
          <t>SSG</t>
        </is>
      </c>
      <c r="D448" t="inlineStr">
        <is>
          <t>두산</t>
        </is>
      </c>
      <c r="E448" t="n">
        <v>9002</v>
      </c>
      <c r="F448" t="n">
        <v>6002</v>
      </c>
      <c r="G448" t="n">
        <v>33.72</v>
      </c>
      <c r="H448" t="n">
        <v>0.3371922938277612</v>
      </c>
      <c r="I448" t="inlineStr">
        <is>
          <t>elo_sp</t>
        </is>
      </c>
    </row>
    <row r="449">
      <c r="A449" t="n">
        <v>20260508</v>
      </c>
      <c r="B449" t="inlineStr">
        <is>
          <t>2026-07-30</t>
        </is>
      </c>
      <c r="C449" t="inlineStr">
        <is>
          <t>한화</t>
        </is>
      </c>
      <c r="D449" t="inlineStr">
        <is>
          <t>롯데</t>
        </is>
      </c>
      <c r="E449" t="n">
        <v>7002</v>
      </c>
      <c r="F449" t="n">
        <v>3001</v>
      </c>
      <c r="G449" t="n">
        <v>46.04</v>
      </c>
      <c r="H449" t="n">
        <v>0.4604282474638562</v>
      </c>
      <c r="I449" t="inlineStr">
        <is>
          <t>elo_sp</t>
        </is>
      </c>
    </row>
    <row r="450">
      <c r="A450" t="n">
        <v>20260509</v>
      </c>
      <c r="B450" t="inlineStr">
        <is>
          <t>2026-07-30</t>
        </is>
      </c>
      <c r="C450" t="inlineStr">
        <is>
          <t>삼성</t>
        </is>
      </c>
      <c r="D450" t="inlineStr">
        <is>
          <t>KIA</t>
        </is>
      </c>
      <c r="E450" t="n">
        <v>1001</v>
      </c>
      <c r="F450" t="n">
        <v>2002</v>
      </c>
      <c r="G450" t="n">
        <v>68.27</v>
      </c>
      <c r="H450" t="n">
        <v>0.682673204938822</v>
      </c>
      <c r="I450" t="inlineStr">
        <is>
          <t>elo_sp</t>
        </is>
      </c>
    </row>
    <row r="451">
      <c r="A451" t="n">
        <v>20260510</v>
      </c>
      <c r="B451" t="inlineStr">
        <is>
          <t>2026-07-30</t>
        </is>
      </c>
      <c r="C451" t="inlineStr">
        <is>
          <t>NC</t>
        </is>
      </c>
      <c r="D451" t="inlineStr">
        <is>
          <t>KT</t>
        </is>
      </c>
      <c r="E451" t="n">
        <v>11001</v>
      </c>
      <c r="F451" t="n">
        <v>12001</v>
      </c>
      <c r="G451" t="n">
        <v>44.85</v>
      </c>
      <c r="H451" t="n">
        <v>0.4485456528413472</v>
      </c>
      <c r="I451" t="inlineStr">
        <is>
          <t>elo_sp</t>
        </is>
      </c>
    </row>
    <row r="452">
      <c r="A452" t="n">
        <v>20260511</v>
      </c>
      <c r="B452" t="inlineStr">
        <is>
          <t>2026-07-31</t>
        </is>
      </c>
      <c r="C452" t="inlineStr">
        <is>
          <t>두산</t>
        </is>
      </c>
      <c r="D452" t="inlineStr">
        <is>
          <t>LG</t>
        </is>
      </c>
      <c r="E452" t="n">
        <v>6002</v>
      </c>
      <c r="F452" t="n">
        <v>5002</v>
      </c>
      <c r="G452" t="n">
        <v>61.6</v>
      </c>
      <c r="H452" t="n">
        <v>0.6160249467531589</v>
      </c>
      <c r="I452" t="inlineStr">
        <is>
          <t>elo_sp</t>
        </is>
      </c>
    </row>
    <row r="453">
      <c r="A453" t="n">
        <v>20260512</v>
      </c>
      <c r="B453" t="inlineStr">
        <is>
          <t>2026-07-31</t>
        </is>
      </c>
      <c r="C453" t="inlineStr">
        <is>
          <t>키움</t>
        </is>
      </c>
      <c r="D453" t="inlineStr">
        <is>
          <t>SSG</t>
        </is>
      </c>
      <c r="E453" t="n">
        <v>10001</v>
      </c>
      <c r="F453" t="n">
        <v>9002</v>
      </c>
      <c r="G453" t="n">
        <v>64.34</v>
      </c>
      <c r="H453" t="n">
        <v>0.6434401612746261</v>
      </c>
      <c r="I453" t="inlineStr">
        <is>
          <t>elo_sp</t>
        </is>
      </c>
    </row>
    <row r="454">
      <c r="A454" t="n">
        <v>20260513</v>
      </c>
      <c r="B454" t="inlineStr">
        <is>
          <t>2026-07-31</t>
        </is>
      </c>
      <c r="C454" t="inlineStr">
        <is>
          <t>KT</t>
        </is>
      </c>
      <c r="D454" t="inlineStr">
        <is>
          <t>한화</t>
        </is>
      </c>
      <c r="E454" t="n">
        <v>12001</v>
      </c>
      <c r="F454" t="n">
        <v>7002</v>
      </c>
      <c r="G454" t="n">
        <v>52.54</v>
      </c>
      <c r="H454" t="n">
        <v>0.5253763638481667</v>
      </c>
      <c r="I454" t="inlineStr">
        <is>
          <t>elo_sp</t>
        </is>
      </c>
    </row>
    <row r="455">
      <c r="A455" t="n">
        <v>20260514</v>
      </c>
      <c r="B455" t="inlineStr">
        <is>
          <t>2026-07-31</t>
        </is>
      </c>
      <c r="C455" t="inlineStr">
        <is>
          <t>롯데</t>
        </is>
      </c>
      <c r="D455" t="inlineStr">
        <is>
          <t>삼성</t>
        </is>
      </c>
      <c r="E455" t="n">
        <v>3001</v>
      </c>
      <c r="F455" t="n">
        <v>1001</v>
      </c>
      <c r="G455" t="n">
        <v>43.03</v>
      </c>
      <c r="H455" t="n">
        <v>0.4303463022786588</v>
      </c>
      <c r="I455" t="inlineStr">
        <is>
          <t>elo_sp</t>
        </is>
      </c>
    </row>
    <row r="456">
      <c r="A456" t="n">
        <v>20260515</v>
      </c>
      <c r="B456" t="inlineStr">
        <is>
          <t>2026-07-31</t>
        </is>
      </c>
      <c r="C456" t="inlineStr">
        <is>
          <t>NC</t>
        </is>
      </c>
      <c r="D456" t="inlineStr">
        <is>
          <t>KIA</t>
        </is>
      </c>
      <c r="E456" t="n">
        <v>11001</v>
      </c>
      <c r="F456" t="n">
        <v>2002</v>
      </c>
      <c r="G456" t="n">
        <v>46.95</v>
      </c>
      <c r="H456" t="n">
        <v>0.4695272335016595</v>
      </c>
      <c r="I456" t="inlineStr">
        <is>
          <t>elo_sp</t>
        </is>
      </c>
    </row>
    <row r="457">
      <c r="A457" t="n">
        <v>20260516</v>
      </c>
      <c r="B457" t="inlineStr">
        <is>
          <t>2026-08-01</t>
        </is>
      </c>
      <c r="C457" t="inlineStr">
        <is>
          <t>두산</t>
        </is>
      </c>
      <c r="D457" t="inlineStr">
        <is>
          <t>LG</t>
        </is>
      </c>
      <c r="E457" t="n">
        <v>6002</v>
      </c>
      <c r="F457" t="n">
        <v>5002</v>
      </c>
      <c r="G457" t="n">
        <v>75.5</v>
      </c>
      <c r="H457" t="n">
        <v>0.7550309638277674</v>
      </c>
      <c r="I457" t="inlineStr">
        <is>
          <t>elo_sp</t>
        </is>
      </c>
    </row>
    <row r="458">
      <c r="A458" t="n">
        <v>20260517</v>
      </c>
      <c r="B458" t="inlineStr">
        <is>
          <t>2026-08-01</t>
        </is>
      </c>
      <c r="C458" t="inlineStr">
        <is>
          <t>키움</t>
        </is>
      </c>
      <c r="D458" t="inlineStr">
        <is>
          <t>SSG</t>
        </is>
      </c>
      <c r="E458" t="n">
        <v>10001</v>
      </c>
      <c r="F458" t="n">
        <v>9002</v>
      </c>
      <c r="G458" t="n">
        <v>47.55</v>
      </c>
      <c r="H458" t="n">
        <v>0.4755046273911457</v>
      </c>
      <c r="I458" t="inlineStr">
        <is>
          <t>elo_sp</t>
        </is>
      </c>
    </row>
    <row r="459">
      <c r="A459" t="n">
        <v>20260518</v>
      </c>
      <c r="B459" t="inlineStr">
        <is>
          <t>2026-08-01</t>
        </is>
      </c>
      <c r="C459" t="inlineStr">
        <is>
          <t>KT</t>
        </is>
      </c>
      <c r="D459" t="inlineStr">
        <is>
          <t>한화</t>
        </is>
      </c>
      <c r="E459" t="n">
        <v>12001</v>
      </c>
      <c r="F459" t="n">
        <v>7002</v>
      </c>
      <c r="G459" t="n">
        <v>47.13</v>
      </c>
      <c r="H459" t="n">
        <v>0.4713400522747737</v>
      </c>
      <c r="I459" t="inlineStr">
        <is>
          <t>elo_sp</t>
        </is>
      </c>
    </row>
    <row r="460">
      <c r="A460" t="n">
        <v>20260519</v>
      </c>
      <c r="B460" t="inlineStr">
        <is>
          <t>2026-08-01</t>
        </is>
      </c>
      <c r="C460" t="inlineStr">
        <is>
          <t>롯데</t>
        </is>
      </c>
      <c r="D460" t="inlineStr">
        <is>
          <t>삼성</t>
        </is>
      </c>
      <c r="E460" t="n">
        <v>3001</v>
      </c>
      <c r="F460" t="n">
        <v>1001</v>
      </c>
      <c r="G460" t="n">
        <v>16.59</v>
      </c>
      <c r="H460" t="n">
        <v>0.165901005653587</v>
      </c>
      <c r="I460" t="inlineStr">
        <is>
          <t>elo_sp</t>
        </is>
      </c>
    </row>
    <row r="461">
      <c r="A461" t="n">
        <v>20260520</v>
      </c>
      <c r="B461" t="inlineStr">
        <is>
          <t>2026-08-01</t>
        </is>
      </c>
      <c r="C461" t="inlineStr">
        <is>
          <t>NC</t>
        </is>
      </c>
      <c r="D461" t="inlineStr">
        <is>
          <t>KIA</t>
        </is>
      </c>
      <c r="E461" t="n">
        <v>11001</v>
      </c>
      <c r="F461" t="n">
        <v>2002</v>
      </c>
      <c r="G461" t="n">
        <v>64.38</v>
      </c>
      <c r="H461" t="n">
        <v>0.6438053774485145</v>
      </c>
      <c r="I461" t="inlineStr">
        <is>
          <t>elo_sp</t>
        </is>
      </c>
    </row>
    <row r="462">
      <c r="A462" t="n">
        <v>20260522</v>
      </c>
      <c r="B462" t="inlineStr">
        <is>
          <t>2026-08-02</t>
        </is>
      </c>
      <c r="C462" t="inlineStr">
        <is>
          <t>키움</t>
        </is>
      </c>
      <c r="D462" t="inlineStr">
        <is>
          <t>SSG</t>
        </is>
      </c>
      <c r="E462" t="n">
        <v>10001</v>
      </c>
      <c r="F462" t="n">
        <v>9002</v>
      </c>
      <c r="G462" t="n">
        <v>20.4</v>
      </c>
      <c r="H462" t="n">
        <v>0.2039877724210188</v>
      </c>
      <c r="I462" t="inlineStr">
        <is>
          <t>elo_sp</t>
        </is>
      </c>
    </row>
    <row r="463">
      <c r="A463" t="n">
        <v>20260521</v>
      </c>
      <c r="B463" t="inlineStr">
        <is>
          <t>2026-08-02</t>
        </is>
      </c>
      <c r="C463" t="inlineStr">
        <is>
          <t>두산</t>
        </is>
      </c>
      <c r="D463" t="inlineStr">
        <is>
          <t>LG</t>
        </is>
      </c>
      <c r="E463" t="n">
        <v>6002</v>
      </c>
      <c r="F463" t="n">
        <v>5002</v>
      </c>
      <c r="G463" t="n">
        <v>67.66</v>
      </c>
      <c r="H463" t="n">
        <v>0.6766025171956351</v>
      </c>
      <c r="I463" t="inlineStr">
        <is>
          <t>elo_sp</t>
        </is>
      </c>
    </row>
    <row r="464">
      <c r="A464" t="n">
        <v>20260523</v>
      </c>
      <c r="B464" t="inlineStr">
        <is>
          <t>2026-08-02</t>
        </is>
      </c>
      <c r="C464" t="inlineStr">
        <is>
          <t>KT</t>
        </is>
      </c>
      <c r="D464" t="inlineStr">
        <is>
          <t>한화</t>
        </is>
      </c>
      <c r="E464" t="n">
        <v>12001</v>
      </c>
      <c r="F464" t="n">
        <v>7002</v>
      </c>
      <c r="G464" t="n">
        <v>55.29</v>
      </c>
      <c r="H464" t="n">
        <v>0.5529308776372632</v>
      </c>
      <c r="I464" t="inlineStr">
        <is>
          <t>elo_sp</t>
        </is>
      </c>
    </row>
    <row r="465">
      <c r="A465" t="n">
        <v>20260524</v>
      </c>
      <c r="B465" t="inlineStr">
        <is>
          <t>2026-08-02</t>
        </is>
      </c>
      <c r="C465" t="inlineStr">
        <is>
          <t>롯데</t>
        </is>
      </c>
      <c r="D465" t="inlineStr">
        <is>
          <t>삼성</t>
        </is>
      </c>
      <c r="E465" t="n">
        <v>3001</v>
      </c>
      <c r="F465" t="n">
        <v>1001</v>
      </c>
      <c r="G465" t="n">
        <v>16.59</v>
      </c>
      <c r="H465" t="n">
        <v>0.1659005382854736</v>
      </c>
      <c r="I465" t="inlineStr">
        <is>
          <t>elo_sp</t>
        </is>
      </c>
    </row>
    <row r="466">
      <c r="A466" t="n">
        <v>20260527</v>
      </c>
      <c r="B466" t="inlineStr">
        <is>
          <t>2026-08-04</t>
        </is>
      </c>
      <c r="C466" t="inlineStr">
        <is>
          <t>SSG</t>
        </is>
      </c>
      <c r="D466" t="inlineStr">
        <is>
          <t>LG</t>
        </is>
      </c>
      <c r="E466" t="n">
        <v>9002</v>
      </c>
      <c r="F466" t="n">
        <v>5002</v>
      </c>
      <c r="G466" t="n">
        <v>45.19</v>
      </c>
      <c r="H466" t="n">
        <v>0.4518956600175673</v>
      </c>
      <c r="I466" t="inlineStr">
        <is>
          <t>elo_sp</t>
        </is>
      </c>
    </row>
    <row r="467">
      <c r="A467" t="n">
        <v>20260528</v>
      </c>
      <c r="B467" t="inlineStr">
        <is>
          <t>2026-08-04</t>
        </is>
      </c>
      <c r="C467" t="inlineStr">
        <is>
          <t>삼성</t>
        </is>
      </c>
      <c r="D467" t="inlineStr">
        <is>
          <t>한화</t>
        </is>
      </c>
      <c r="E467" t="n">
        <v>1001</v>
      </c>
      <c r="F467" t="n">
        <v>7002</v>
      </c>
      <c r="G467" t="n">
        <v>48.22</v>
      </c>
      <c r="H467" t="n">
        <v>0.4822097538945607</v>
      </c>
      <c r="I467" t="inlineStr">
        <is>
          <t>elo_sp</t>
        </is>
      </c>
    </row>
    <row r="468">
      <c r="A468" t="n">
        <v>20260530</v>
      </c>
      <c r="B468" t="inlineStr">
        <is>
          <t>2026-08-04</t>
        </is>
      </c>
      <c r="C468" t="inlineStr">
        <is>
          <t>롯데</t>
        </is>
      </c>
      <c r="D468" t="inlineStr">
        <is>
          <t>키움</t>
        </is>
      </c>
      <c r="E468" t="n">
        <v>3001</v>
      </c>
      <c r="F468" t="n">
        <v>10001</v>
      </c>
      <c r="G468" t="n">
        <v>67.76000000000001</v>
      </c>
      <c r="H468" t="n">
        <v>0.6775938534218868</v>
      </c>
      <c r="I468" t="inlineStr">
        <is>
          <t>elo_sp</t>
        </is>
      </c>
    </row>
    <row r="469">
      <c r="A469" t="n">
        <v>20260531</v>
      </c>
      <c r="B469" t="inlineStr">
        <is>
          <t>2026-08-05</t>
        </is>
      </c>
      <c r="C469" t="inlineStr">
        <is>
          <t>두산</t>
        </is>
      </c>
      <c r="D469" t="inlineStr">
        <is>
          <t>NC</t>
        </is>
      </c>
      <c r="E469" t="n">
        <v>6002</v>
      </c>
      <c r="F469" t="n">
        <v>11001</v>
      </c>
      <c r="G469" t="n">
        <v>52.53</v>
      </c>
      <c r="H469" t="n">
        <v>0.5253395873473732</v>
      </c>
      <c r="I469" t="inlineStr">
        <is>
          <t>elo_sp</t>
        </is>
      </c>
    </row>
    <row r="470">
      <c r="A470" t="n">
        <v>20260532</v>
      </c>
      <c r="B470" t="inlineStr">
        <is>
          <t>2026-08-05</t>
        </is>
      </c>
      <c r="C470" t="inlineStr">
        <is>
          <t>SSG</t>
        </is>
      </c>
      <c r="D470" t="inlineStr">
        <is>
          <t>LG</t>
        </is>
      </c>
      <c r="E470" t="n">
        <v>9002</v>
      </c>
      <c r="F470" t="n">
        <v>5002</v>
      </c>
      <c r="G470" t="n">
        <v>54.95</v>
      </c>
      <c r="H470" t="n">
        <v>0.5495272964800992</v>
      </c>
      <c r="I470" t="inlineStr">
        <is>
          <t>elo_sp</t>
        </is>
      </c>
    </row>
    <row r="471">
      <c r="A471" t="n">
        <v>20260533</v>
      </c>
      <c r="B471" t="inlineStr">
        <is>
          <t>2026-08-05</t>
        </is>
      </c>
      <c r="C471" t="inlineStr">
        <is>
          <t>삼성</t>
        </is>
      </c>
      <c r="D471" t="inlineStr">
        <is>
          <t>한화</t>
        </is>
      </c>
      <c r="E471" t="n">
        <v>1001</v>
      </c>
      <c r="F471" t="n">
        <v>7002</v>
      </c>
      <c r="G471" t="n">
        <v>58.86</v>
      </c>
      <c r="H471" t="n">
        <v>0.588623223467086</v>
      </c>
      <c r="I471" t="inlineStr">
        <is>
          <t>elo_sp</t>
        </is>
      </c>
    </row>
    <row r="472">
      <c r="A472" t="n">
        <v>20260534</v>
      </c>
      <c r="B472" t="inlineStr">
        <is>
          <t>2026-08-05</t>
        </is>
      </c>
      <c r="C472" t="inlineStr">
        <is>
          <t>KIA</t>
        </is>
      </c>
      <c r="D472" t="inlineStr">
        <is>
          <t>KT</t>
        </is>
      </c>
      <c r="E472" t="n">
        <v>2002</v>
      </c>
      <c r="F472" t="n">
        <v>12001</v>
      </c>
      <c r="G472" t="n">
        <v>44.74</v>
      </c>
      <c r="H472" t="n">
        <v>0.4474180938823502</v>
      </c>
      <c r="I472" t="inlineStr">
        <is>
          <t>elo_sp</t>
        </is>
      </c>
    </row>
    <row r="473">
      <c r="A473" t="n">
        <v>20260535</v>
      </c>
      <c r="B473" t="inlineStr">
        <is>
          <t>2026-08-05</t>
        </is>
      </c>
      <c r="C473" t="inlineStr">
        <is>
          <t>롯데</t>
        </is>
      </c>
      <c r="D473" t="inlineStr">
        <is>
          <t>키움</t>
        </is>
      </c>
      <c r="E473" t="n">
        <v>3001</v>
      </c>
      <c r="F473" t="n">
        <v>10001</v>
      </c>
      <c r="G473" t="n">
        <v>44.62</v>
      </c>
      <c r="H473" t="n">
        <v>0.4461982649726493</v>
      </c>
      <c r="I473" t="inlineStr">
        <is>
          <t>elo_sp</t>
        </is>
      </c>
    </row>
    <row r="474">
      <c r="A474" t="n">
        <v>20260556</v>
      </c>
      <c r="B474" t="inlineStr">
        <is>
          <t>2026-08-11</t>
        </is>
      </c>
      <c r="C474" t="inlineStr">
        <is>
          <t>두산</t>
        </is>
      </c>
      <c r="D474" t="inlineStr">
        <is>
          <t>한화</t>
        </is>
      </c>
      <c r="E474" t="n">
        <v>6002</v>
      </c>
      <c r="F474" t="n">
        <v>7002</v>
      </c>
      <c r="G474" t="n">
        <v>59.48</v>
      </c>
      <c r="H474" t="n">
        <v>0.5947819573728591</v>
      </c>
      <c r="I474" t="inlineStr">
        <is>
          <t>elo_sp</t>
        </is>
      </c>
    </row>
    <row r="475">
      <c r="A475" t="n">
        <v>20260557</v>
      </c>
      <c r="B475" t="inlineStr">
        <is>
          <t>2026-08-11</t>
        </is>
      </c>
      <c r="C475" t="inlineStr">
        <is>
          <t>키움</t>
        </is>
      </c>
      <c r="D475" t="inlineStr">
        <is>
          <t>LG</t>
        </is>
      </c>
      <c r="E475" t="n">
        <v>10001</v>
      </c>
      <c r="F475" t="n">
        <v>5002</v>
      </c>
      <c r="G475" t="n">
        <v>23.9</v>
      </c>
      <c r="H475" t="n">
        <v>0.2389687951054881</v>
      </c>
      <c r="I475" t="inlineStr">
        <is>
          <t>elo_sp</t>
        </is>
      </c>
    </row>
    <row r="476">
      <c r="A476" t="n">
        <v>20260558</v>
      </c>
      <c r="B476" t="inlineStr">
        <is>
          <t>2026-08-11</t>
        </is>
      </c>
      <c r="C476" t="inlineStr">
        <is>
          <t>SSG</t>
        </is>
      </c>
      <c r="D476" t="inlineStr">
        <is>
          <t>롯데</t>
        </is>
      </c>
      <c r="E476" t="n">
        <v>9002</v>
      </c>
      <c r="F476" t="n">
        <v>3001</v>
      </c>
      <c r="G476" t="n">
        <v>59.36</v>
      </c>
      <c r="H476" t="n">
        <v>0.5935609200779551</v>
      </c>
      <c r="I476" t="inlineStr">
        <is>
          <t>elo_sp</t>
        </is>
      </c>
    </row>
    <row r="477">
      <c r="A477" t="n">
        <v>20260559</v>
      </c>
      <c r="B477" t="inlineStr">
        <is>
          <t>2026-08-11</t>
        </is>
      </c>
      <c r="C477" t="inlineStr">
        <is>
          <t>KIA</t>
        </is>
      </c>
      <c r="D477" t="inlineStr">
        <is>
          <t>삼성</t>
        </is>
      </c>
      <c r="E477" t="n">
        <v>2002</v>
      </c>
      <c r="F477" t="n">
        <v>1001</v>
      </c>
      <c r="G477" t="n">
        <v>40.32</v>
      </c>
      <c r="H477" t="n">
        <v>0.4031950022941605</v>
      </c>
      <c r="I477" t="inlineStr">
        <is>
          <t>elo_sp</t>
        </is>
      </c>
    </row>
    <row r="478">
      <c r="A478" t="n">
        <v>20260560</v>
      </c>
      <c r="B478" t="inlineStr">
        <is>
          <t>2026-08-11</t>
        </is>
      </c>
      <c r="C478" t="inlineStr">
        <is>
          <t>NC</t>
        </is>
      </c>
      <c r="D478" t="inlineStr">
        <is>
          <t>KT</t>
        </is>
      </c>
      <c r="E478" t="n">
        <v>11001</v>
      </c>
      <c r="F478" t="n">
        <v>12001</v>
      </c>
      <c r="G478" t="n">
        <v>48.62</v>
      </c>
      <c r="H478" t="n">
        <v>0.486210275916183</v>
      </c>
      <c r="I478" t="inlineStr">
        <is>
          <t>elo_sp</t>
        </is>
      </c>
    </row>
    <row r="479">
      <c r="A479" t="n">
        <v>20260561</v>
      </c>
      <c r="B479" t="inlineStr">
        <is>
          <t>2026-08-12</t>
        </is>
      </c>
      <c r="C479" t="inlineStr">
        <is>
          <t>두산</t>
        </is>
      </c>
      <c r="D479" t="inlineStr">
        <is>
          <t>한화</t>
        </is>
      </c>
      <c r="E479" t="n">
        <v>6002</v>
      </c>
      <c r="F479" t="n">
        <v>7002</v>
      </c>
      <c r="G479" t="n">
        <v>71.06</v>
      </c>
      <c r="H479" t="n">
        <v>0.710552035024231</v>
      </c>
      <c r="I479" t="inlineStr">
        <is>
          <t>elo_sp</t>
        </is>
      </c>
    </row>
    <row r="480">
      <c r="A480" t="n">
        <v>20260562</v>
      </c>
      <c r="B480" t="inlineStr">
        <is>
          <t>2026-08-12</t>
        </is>
      </c>
      <c r="C480" t="inlineStr">
        <is>
          <t>키움</t>
        </is>
      </c>
      <c r="D480" t="inlineStr">
        <is>
          <t>LG</t>
        </is>
      </c>
      <c r="E480" t="n">
        <v>10001</v>
      </c>
      <c r="F480" t="n">
        <v>5002</v>
      </c>
      <c r="G480" t="n">
        <v>39.61</v>
      </c>
      <c r="H480" t="n">
        <v>0.3960953173342182</v>
      </c>
      <c r="I480" t="inlineStr">
        <is>
          <t>elo_sp</t>
        </is>
      </c>
    </row>
    <row r="481">
      <c r="A481" t="n">
        <v>20260563</v>
      </c>
      <c r="B481" t="inlineStr">
        <is>
          <t>2026-08-12</t>
        </is>
      </c>
      <c r="C481" t="inlineStr">
        <is>
          <t>SSG</t>
        </is>
      </c>
      <c r="D481" t="inlineStr">
        <is>
          <t>롯데</t>
        </is>
      </c>
      <c r="E481" t="n">
        <v>9002</v>
      </c>
      <c r="F481" t="n">
        <v>3001</v>
      </c>
      <c r="G481" t="n">
        <v>48.51</v>
      </c>
      <c r="H481" t="n">
        <v>0.4850562468633277</v>
      </c>
      <c r="I481" t="inlineStr">
        <is>
          <t>elo_sp</t>
        </is>
      </c>
    </row>
    <row r="482">
      <c r="A482" t="n">
        <v>20260564</v>
      </c>
      <c r="B482" t="inlineStr">
        <is>
          <t>2026-08-12</t>
        </is>
      </c>
      <c r="C482" t="inlineStr">
        <is>
          <t>KIA</t>
        </is>
      </c>
      <c r="D482" t="inlineStr">
        <is>
          <t>삼성</t>
        </is>
      </c>
      <c r="E482" t="n">
        <v>2002</v>
      </c>
      <c r="F482" t="n">
        <v>1001</v>
      </c>
      <c r="G482" t="n">
        <v>79.8</v>
      </c>
      <c r="H482" t="n">
        <v>0.7979713533465355</v>
      </c>
      <c r="I482" t="inlineStr">
        <is>
          <t>elo_sp</t>
        </is>
      </c>
    </row>
    <row r="483">
      <c r="A483" t="n">
        <v>20260565</v>
      </c>
      <c r="B483" t="inlineStr">
        <is>
          <t>2026-08-12</t>
        </is>
      </c>
      <c r="C483" t="inlineStr">
        <is>
          <t>NC</t>
        </is>
      </c>
      <c r="D483" t="inlineStr">
        <is>
          <t>KT</t>
        </is>
      </c>
      <c r="E483" t="n">
        <v>11001</v>
      </c>
      <c r="F483" t="n">
        <v>12001</v>
      </c>
      <c r="G483" t="n">
        <v>42.91</v>
      </c>
      <c r="H483" t="n">
        <v>0.4291098074231138</v>
      </c>
      <c r="I483" t="inlineStr">
        <is>
          <t>elo_sp</t>
        </is>
      </c>
    </row>
    <row r="484">
      <c r="A484" t="n">
        <v>20260566</v>
      </c>
      <c r="B484" t="inlineStr">
        <is>
          <t>2026-08-13</t>
        </is>
      </c>
      <c r="C484" t="inlineStr">
        <is>
          <t>두산</t>
        </is>
      </c>
      <c r="D484" t="inlineStr">
        <is>
          <t>한화</t>
        </is>
      </c>
      <c r="E484" t="n">
        <v>6002</v>
      </c>
      <c r="F484" t="n">
        <v>7002</v>
      </c>
      <c r="G484" t="n">
        <v>55.43</v>
      </c>
      <c r="H484" t="n">
        <v>0.5543018557859108</v>
      </c>
      <c r="I484" t="inlineStr">
        <is>
          <t>elo_sp</t>
        </is>
      </c>
    </row>
    <row r="485">
      <c r="A485" t="n">
        <v>20260567</v>
      </c>
      <c r="B485" t="inlineStr">
        <is>
          <t>2026-08-13</t>
        </is>
      </c>
      <c r="C485" t="inlineStr">
        <is>
          <t>키움</t>
        </is>
      </c>
      <c r="D485" t="inlineStr">
        <is>
          <t>LG</t>
        </is>
      </c>
      <c r="E485" t="n">
        <v>10001</v>
      </c>
      <c r="F485" t="n">
        <v>5002</v>
      </c>
      <c r="G485" t="n">
        <v>57.89</v>
      </c>
      <c r="H485" t="n">
        <v>0.5788785883721531</v>
      </c>
      <c r="I485" t="inlineStr">
        <is>
          <t>elo_sp</t>
        </is>
      </c>
    </row>
    <row r="486">
      <c r="A486" t="n">
        <v>20260568</v>
      </c>
      <c r="B486" t="inlineStr">
        <is>
          <t>2026-08-13</t>
        </is>
      </c>
      <c r="C486" t="inlineStr">
        <is>
          <t>SSG</t>
        </is>
      </c>
      <c r="D486" t="inlineStr">
        <is>
          <t>롯데</t>
        </is>
      </c>
      <c r="E486" t="n">
        <v>9002</v>
      </c>
      <c r="F486" t="n">
        <v>3001</v>
      </c>
      <c r="G486" t="n">
        <v>37.5</v>
      </c>
      <c r="H486" t="n">
        <v>0.3749862622170936</v>
      </c>
      <c r="I486" t="inlineStr">
        <is>
          <t>elo_sp</t>
        </is>
      </c>
    </row>
    <row r="487">
      <c r="A487" t="n">
        <v>20260569</v>
      </c>
      <c r="B487" t="inlineStr">
        <is>
          <t>2026-08-13</t>
        </is>
      </c>
      <c r="C487" t="inlineStr">
        <is>
          <t>KIA</t>
        </is>
      </c>
      <c r="D487" t="inlineStr">
        <is>
          <t>삼성</t>
        </is>
      </c>
      <c r="E487" t="n">
        <v>2002</v>
      </c>
      <c r="F487" t="n">
        <v>1001</v>
      </c>
      <c r="G487" t="n">
        <v>39.32</v>
      </c>
      <c r="H487" t="n">
        <v>0.3931567071323346</v>
      </c>
      <c r="I487" t="inlineStr">
        <is>
          <t>elo_sp</t>
        </is>
      </c>
    </row>
    <row r="488">
      <c r="A488" t="n">
        <v>20260570</v>
      </c>
      <c r="B488" t="inlineStr">
        <is>
          <t>2026-08-13</t>
        </is>
      </c>
      <c r="C488" t="inlineStr">
        <is>
          <t>NC</t>
        </is>
      </c>
      <c r="D488" t="inlineStr">
        <is>
          <t>KT</t>
        </is>
      </c>
      <c r="E488" t="n">
        <v>11001</v>
      </c>
      <c r="F488" t="n">
        <v>12001</v>
      </c>
      <c r="G488" t="n">
        <v>43.63</v>
      </c>
      <c r="H488" t="n">
        <v>0.4362907517734046</v>
      </c>
      <c r="I488" t="inlineStr">
        <is>
          <t>elo_sp</t>
        </is>
      </c>
    </row>
    <row r="489">
      <c r="A489" t="n">
        <v>20260571</v>
      </c>
      <c r="B489" t="inlineStr">
        <is>
          <t>2026-08-14</t>
        </is>
      </c>
      <c r="C489" t="inlineStr">
        <is>
          <t>LG</t>
        </is>
      </c>
      <c r="D489" t="inlineStr">
        <is>
          <t>SSG</t>
        </is>
      </c>
      <c r="E489" t="n">
        <v>5002</v>
      </c>
      <c r="F489" t="n">
        <v>9002</v>
      </c>
      <c r="G489" t="n">
        <v>51.79</v>
      </c>
      <c r="H489" t="n">
        <v>0.5178945290117958</v>
      </c>
      <c r="I489" t="inlineStr">
        <is>
          <t>elo_sp</t>
        </is>
      </c>
    </row>
    <row r="490">
      <c r="A490" t="n">
        <v>20260572</v>
      </c>
      <c r="B490" t="inlineStr">
        <is>
          <t>2026-08-14</t>
        </is>
      </c>
      <c r="C490" t="inlineStr">
        <is>
          <t>KT</t>
        </is>
      </c>
      <c r="D490" t="inlineStr">
        <is>
          <t>키움</t>
        </is>
      </c>
      <c r="E490" t="n">
        <v>12001</v>
      </c>
      <c r="F490" t="n">
        <v>10001</v>
      </c>
      <c r="G490" t="n">
        <v>65.06</v>
      </c>
      <c r="H490" t="n">
        <v>0.650558203133739</v>
      </c>
      <c r="I490" t="inlineStr">
        <is>
          <t>elo_sp</t>
        </is>
      </c>
    </row>
    <row r="491">
      <c r="A491" t="n">
        <v>20260573</v>
      </c>
      <c r="B491" t="inlineStr">
        <is>
          <t>2026-08-14</t>
        </is>
      </c>
      <c r="C491" t="inlineStr">
        <is>
          <t>삼성</t>
        </is>
      </c>
      <c r="D491" t="inlineStr">
        <is>
          <t>한화</t>
        </is>
      </c>
      <c r="E491" t="n">
        <v>1001</v>
      </c>
      <c r="F491" t="n">
        <v>7002</v>
      </c>
      <c r="G491" t="n">
        <v>59.21</v>
      </c>
      <c r="H491" t="n">
        <v>0.5920531796410221</v>
      </c>
      <c r="I491" t="inlineStr">
        <is>
          <t>elo_sp</t>
        </is>
      </c>
    </row>
    <row r="492">
      <c r="A492" t="n">
        <v>20260574</v>
      </c>
      <c r="B492" t="inlineStr">
        <is>
          <t>2026-08-14</t>
        </is>
      </c>
      <c r="C492" t="inlineStr">
        <is>
          <t>KIA</t>
        </is>
      </c>
      <c r="D492" t="inlineStr">
        <is>
          <t>두산</t>
        </is>
      </c>
      <c r="E492" t="n">
        <v>2002</v>
      </c>
      <c r="F492" t="n">
        <v>6002</v>
      </c>
      <c r="G492" t="n">
        <v>38.08</v>
      </c>
      <c r="H492" t="n">
        <v>0.3807814261383977</v>
      </c>
      <c r="I492" t="inlineStr">
        <is>
          <t>elo_sp</t>
        </is>
      </c>
    </row>
    <row r="493">
      <c r="A493" t="n">
        <v>20260575</v>
      </c>
      <c r="B493" t="inlineStr">
        <is>
          <t>2026-08-14</t>
        </is>
      </c>
      <c r="C493" t="inlineStr">
        <is>
          <t>롯데</t>
        </is>
      </c>
      <c r="D493" t="inlineStr">
        <is>
          <t>NC</t>
        </is>
      </c>
      <c r="E493" t="n">
        <v>3001</v>
      </c>
      <c r="F493" t="n">
        <v>11001</v>
      </c>
      <c r="G493" t="n">
        <v>56.63</v>
      </c>
      <c r="H493" t="n">
        <v>0.5662887288192973</v>
      </c>
      <c r="I493" t="inlineStr">
        <is>
          <t>elo_sp</t>
        </is>
      </c>
    </row>
    <row r="494">
      <c r="A494" t="n">
        <v>20260576</v>
      </c>
      <c r="B494" t="inlineStr">
        <is>
          <t>2026-08-15</t>
        </is>
      </c>
      <c r="C494" t="inlineStr">
        <is>
          <t>LG</t>
        </is>
      </c>
      <c r="D494" t="inlineStr">
        <is>
          <t>SSG</t>
        </is>
      </c>
      <c r="E494" t="n">
        <v>5002</v>
      </c>
      <c r="F494" t="n">
        <v>9002</v>
      </c>
      <c r="G494" t="n">
        <v>64.77</v>
      </c>
      <c r="H494" t="n">
        <v>0.6476698975888682</v>
      </c>
      <c r="I494" t="inlineStr">
        <is>
          <t>elo_sp</t>
        </is>
      </c>
    </row>
    <row r="495">
      <c r="A495" t="n">
        <v>20260577</v>
      </c>
      <c r="B495" t="inlineStr">
        <is>
          <t>2026-08-15</t>
        </is>
      </c>
      <c r="C495" t="inlineStr">
        <is>
          <t>KT</t>
        </is>
      </c>
      <c r="D495" t="inlineStr">
        <is>
          <t>키움</t>
        </is>
      </c>
      <c r="E495" t="n">
        <v>12001</v>
      </c>
      <c r="F495" t="n">
        <v>10001</v>
      </c>
      <c r="G495" t="n">
        <v>56.77</v>
      </c>
      <c r="H495" t="n">
        <v>0.5676859997248038</v>
      </c>
      <c r="I495" t="inlineStr">
        <is>
          <t>elo_sp</t>
        </is>
      </c>
    </row>
    <row r="496">
      <c r="A496" t="n">
        <v>20260578</v>
      </c>
      <c r="B496" t="inlineStr">
        <is>
          <t>2026-08-15</t>
        </is>
      </c>
      <c r="C496" t="inlineStr">
        <is>
          <t>삼성</t>
        </is>
      </c>
      <c r="D496" t="inlineStr">
        <is>
          <t>한화</t>
        </is>
      </c>
      <c r="E496" t="n">
        <v>1001</v>
      </c>
      <c r="F496" t="n">
        <v>7002</v>
      </c>
      <c r="G496" t="n">
        <v>51.79</v>
      </c>
      <c r="H496" t="n">
        <v>0.517948592542511</v>
      </c>
      <c r="I496" t="inlineStr">
        <is>
          <t>elo_sp</t>
        </is>
      </c>
    </row>
    <row r="497">
      <c r="A497" t="n">
        <v>20260579</v>
      </c>
      <c r="B497" t="inlineStr">
        <is>
          <t>2026-08-15</t>
        </is>
      </c>
      <c r="C497" t="inlineStr">
        <is>
          <t>KIA</t>
        </is>
      </c>
      <c r="D497" t="inlineStr">
        <is>
          <t>두산</t>
        </is>
      </c>
      <c r="E497" t="n">
        <v>2002</v>
      </c>
      <c r="F497" t="n">
        <v>6002</v>
      </c>
      <c r="G497" t="n">
        <v>45.69</v>
      </c>
      <c r="H497" t="n">
        <v>0.4569392173402847</v>
      </c>
      <c r="I497" t="inlineStr">
        <is>
          <t>elo_sp</t>
        </is>
      </c>
    </row>
    <row r="498">
      <c r="A498" t="n">
        <v>20260580</v>
      </c>
      <c r="B498" t="inlineStr">
        <is>
          <t>2026-08-15</t>
        </is>
      </c>
      <c r="C498" t="inlineStr">
        <is>
          <t>롯데</t>
        </is>
      </c>
      <c r="D498" t="inlineStr">
        <is>
          <t>NC</t>
        </is>
      </c>
      <c r="E498" t="n">
        <v>3001</v>
      </c>
      <c r="F498" t="n">
        <v>11001</v>
      </c>
      <c r="G498" t="n">
        <v>63.87</v>
      </c>
      <c r="H498" t="n">
        <v>0.6386745382439659</v>
      </c>
      <c r="I498" t="inlineStr">
        <is>
          <t>elo_sp</t>
        </is>
      </c>
    </row>
    <row r="499">
      <c r="A499" t="n">
        <v>20260581</v>
      </c>
      <c r="B499" t="inlineStr">
        <is>
          <t>2026-08-16</t>
        </is>
      </c>
      <c r="C499" t="inlineStr">
        <is>
          <t>LG</t>
        </is>
      </c>
      <c r="D499" t="inlineStr">
        <is>
          <t>SSG</t>
        </is>
      </c>
      <c r="E499" t="n">
        <v>5002</v>
      </c>
      <c r="F499" t="n">
        <v>9002</v>
      </c>
      <c r="G499" t="n">
        <v>75.68000000000001</v>
      </c>
      <c r="H499" t="n">
        <v>0.7567598271289979</v>
      </c>
      <c r="I499" t="inlineStr">
        <is>
          <t>elo_sp</t>
        </is>
      </c>
    </row>
    <row r="500">
      <c r="A500" t="n">
        <v>20260582</v>
      </c>
      <c r="B500" t="inlineStr">
        <is>
          <t>2026-08-16</t>
        </is>
      </c>
      <c r="C500" t="inlineStr">
        <is>
          <t>KT</t>
        </is>
      </c>
      <c r="D500" t="inlineStr">
        <is>
          <t>키움</t>
        </is>
      </c>
      <c r="E500" t="n">
        <v>12001</v>
      </c>
      <c r="F500" t="n">
        <v>10001</v>
      </c>
      <c r="G500" t="n">
        <v>74.88</v>
      </c>
      <c r="H500" t="n">
        <v>0.7487917774866213</v>
      </c>
      <c r="I500" t="inlineStr">
        <is>
          <t>elo_sp</t>
        </is>
      </c>
    </row>
    <row r="501">
      <c r="A501" t="n">
        <v>20260583</v>
      </c>
      <c r="B501" t="inlineStr">
        <is>
          <t>2026-08-16</t>
        </is>
      </c>
      <c r="C501" t="inlineStr">
        <is>
          <t>삼성</t>
        </is>
      </c>
      <c r="D501" t="inlineStr">
        <is>
          <t>한화</t>
        </is>
      </c>
      <c r="E501" t="n">
        <v>1001</v>
      </c>
      <c r="F501" t="n">
        <v>7002</v>
      </c>
      <c r="G501" t="n">
        <v>57.96</v>
      </c>
      <c r="H501" t="n">
        <v>0.5796260800170902</v>
      </c>
      <c r="I501" t="inlineStr">
        <is>
          <t>elo_sp</t>
        </is>
      </c>
    </row>
    <row r="502">
      <c r="A502" t="n">
        <v>20260584</v>
      </c>
      <c r="B502" t="inlineStr">
        <is>
          <t>2026-08-16</t>
        </is>
      </c>
      <c r="C502" t="inlineStr">
        <is>
          <t>KIA</t>
        </is>
      </c>
      <c r="D502" t="inlineStr">
        <is>
          <t>두산</t>
        </is>
      </c>
      <c r="E502" t="n">
        <v>2002</v>
      </c>
      <c r="F502" t="n">
        <v>6002</v>
      </c>
      <c r="G502" t="n">
        <v>36.36</v>
      </c>
      <c r="H502" t="n">
        <v>0.3635974236127269</v>
      </c>
      <c r="I502" t="inlineStr">
        <is>
          <t>elo_sp</t>
        </is>
      </c>
    </row>
    <row r="503">
      <c r="A503" t="n">
        <v>20260585</v>
      </c>
      <c r="B503" t="inlineStr">
        <is>
          <t>2026-08-16</t>
        </is>
      </c>
      <c r="C503" t="inlineStr">
        <is>
          <t>롯데</t>
        </is>
      </c>
      <c r="D503" t="inlineStr">
        <is>
          <t>NC</t>
        </is>
      </c>
      <c r="E503" t="n">
        <v>3001</v>
      </c>
      <c r="F503" t="n">
        <v>11001</v>
      </c>
      <c r="G503" t="n">
        <v>41.9</v>
      </c>
      <c r="H503" t="n">
        <v>0.4190353170840906</v>
      </c>
      <c r="I503" t="inlineStr">
        <is>
          <t>elo_sp</t>
        </is>
      </c>
    </row>
    <row r="504">
      <c r="A504" t="n">
        <v>20260586</v>
      </c>
      <c r="B504" t="inlineStr">
        <is>
          <t>2026-08-18</t>
        </is>
      </c>
      <c r="C504" t="inlineStr">
        <is>
          <t>LG</t>
        </is>
      </c>
      <c r="D504" t="inlineStr">
        <is>
          <t>KT</t>
        </is>
      </c>
      <c r="E504" t="n">
        <v>5002</v>
      </c>
      <c r="F504" t="n">
        <v>12001</v>
      </c>
      <c r="G504" t="n">
        <v>36.83</v>
      </c>
      <c r="H504" t="n">
        <v>0.3682550711089438</v>
      </c>
      <c r="I504" t="inlineStr">
        <is>
          <t>elo_sp</t>
        </is>
      </c>
    </row>
    <row r="505">
      <c r="A505" t="n">
        <v>20260587</v>
      </c>
      <c r="B505" t="inlineStr">
        <is>
          <t>2026-08-18</t>
        </is>
      </c>
      <c r="C505" t="inlineStr">
        <is>
          <t>한화</t>
        </is>
      </c>
      <c r="D505" t="inlineStr">
        <is>
          <t>KIA</t>
        </is>
      </c>
      <c r="E505" t="n">
        <v>7002</v>
      </c>
      <c r="F505" t="n">
        <v>2002</v>
      </c>
      <c r="G505" t="n">
        <v>45.37</v>
      </c>
      <c r="H505" t="n">
        <v>0.4536546396397998</v>
      </c>
      <c r="I505" t="inlineStr">
        <is>
          <t>elo_sp</t>
        </is>
      </c>
    </row>
    <row r="506">
      <c r="A506" t="n">
        <v>20260588</v>
      </c>
      <c r="B506" t="inlineStr">
        <is>
          <t>2026-08-18</t>
        </is>
      </c>
      <c r="C506" t="inlineStr">
        <is>
          <t>삼성</t>
        </is>
      </c>
      <c r="D506" t="inlineStr">
        <is>
          <t>SSG</t>
        </is>
      </c>
      <c r="E506" t="n">
        <v>1001</v>
      </c>
      <c r="F506" t="n">
        <v>9002</v>
      </c>
      <c r="G506" t="n">
        <v>60.44</v>
      </c>
      <c r="H506" t="n">
        <v>0.6043744280401018</v>
      </c>
      <c r="I506" t="inlineStr">
        <is>
          <t>elo_sp</t>
        </is>
      </c>
    </row>
    <row r="507">
      <c r="A507" t="n">
        <v>20260589</v>
      </c>
      <c r="B507" t="inlineStr">
        <is>
          <t>2026-08-18</t>
        </is>
      </c>
      <c r="C507" t="inlineStr">
        <is>
          <t>롯데</t>
        </is>
      </c>
      <c r="D507" t="inlineStr">
        <is>
          <t>키움</t>
        </is>
      </c>
      <c r="E507" t="n">
        <v>3001</v>
      </c>
      <c r="F507" t="n">
        <v>10001</v>
      </c>
      <c r="G507" t="n">
        <v>71.81</v>
      </c>
      <c r="H507" t="n">
        <v>0.7181134915998599</v>
      </c>
      <c r="I507" t="inlineStr">
        <is>
          <t>elo_sp</t>
        </is>
      </c>
    </row>
    <row r="508">
      <c r="A508" t="n">
        <v>20260590</v>
      </c>
      <c r="B508" t="inlineStr">
        <is>
          <t>2026-08-18</t>
        </is>
      </c>
      <c r="C508" t="inlineStr">
        <is>
          <t>NC</t>
        </is>
      </c>
      <c r="D508" t="inlineStr">
        <is>
          <t>두산</t>
        </is>
      </c>
      <c r="E508" t="n">
        <v>11001</v>
      </c>
      <c r="F508" t="n">
        <v>6002</v>
      </c>
      <c r="G508" t="n">
        <v>48.82</v>
      </c>
      <c r="H508" t="n">
        <v>0.4881769197768293</v>
      </c>
      <c r="I508" t="inlineStr">
        <is>
          <t>elo_sp</t>
        </is>
      </c>
    </row>
    <row r="509">
      <c r="A509" t="n">
        <v>20260596</v>
      </c>
      <c r="B509" t="inlineStr">
        <is>
          <t>2026-08-20</t>
        </is>
      </c>
      <c r="C509" t="inlineStr">
        <is>
          <t>LG</t>
        </is>
      </c>
      <c r="D509" t="inlineStr">
        <is>
          <t>KT</t>
        </is>
      </c>
      <c r="E509" t="n">
        <v>5002</v>
      </c>
      <c r="F509" t="n">
        <v>12001</v>
      </c>
      <c r="G509" t="n">
        <v>40.59</v>
      </c>
      <c r="H509" t="n">
        <v>0.4058685707863955</v>
      </c>
      <c r="I509" t="inlineStr">
        <is>
          <t>elo_sp</t>
        </is>
      </c>
    </row>
    <row r="510">
      <c r="A510" t="n">
        <v>20260597</v>
      </c>
      <c r="B510" t="inlineStr">
        <is>
          <t>2026-08-20</t>
        </is>
      </c>
      <c r="C510" t="inlineStr">
        <is>
          <t>한화</t>
        </is>
      </c>
      <c r="D510" t="inlineStr">
        <is>
          <t>KIA</t>
        </is>
      </c>
      <c r="E510" t="n">
        <v>7002</v>
      </c>
      <c r="F510" t="n">
        <v>2002</v>
      </c>
      <c r="G510" t="n">
        <v>56.71</v>
      </c>
      <c r="H510" t="n">
        <v>0.5670839649977377</v>
      </c>
      <c r="I510" t="inlineStr">
        <is>
          <t>elo_sp</t>
        </is>
      </c>
    </row>
    <row r="511">
      <c r="A511" t="n">
        <v>20260598</v>
      </c>
      <c r="B511" t="inlineStr">
        <is>
          <t>2026-08-20</t>
        </is>
      </c>
      <c r="C511" t="inlineStr">
        <is>
          <t>삼성</t>
        </is>
      </c>
      <c r="D511" t="inlineStr">
        <is>
          <t>SSG</t>
        </is>
      </c>
      <c r="E511" t="n">
        <v>1001</v>
      </c>
      <c r="F511" t="n">
        <v>9002</v>
      </c>
      <c r="G511" t="n">
        <v>54.15</v>
      </c>
      <c r="H511" t="n">
        <v>0.5414592800273698</v>
      </c>
      <c r="I511" t="inlineStr">
        <is>
          <t>elo_sp</t>
        </is>
      </c>
    </row>
    <row r="512">
      <c r="A512" t="n">
        <v>20260599</v>
      </c>
      <c r="B512" t="inlineStr">
        <is>
          <t>2026-08-20</t>
        </is>
      </c>
      <c r="C512" t="inlineStr">
        <is>
          <t>롯데</t>
        </is>
      </c>
      <c r="D512" t="inlineStr">
        <is>
          <t>키움</t>
        </is>
      </c>
      <c r="E512" t="n">
        <v>3001</v>
      </c>
      <c r="F512" t="n">
        <v>10001</v>
      </c>
      <c r="G512" t="n">
        <v>58.24</v>
      </c>
      <c r="H512" t="n">
        <v>0.582406357984854</v>
      </c>
      <c r="I512" t="inlineStr">
        <is>
          <t>elo_sp</t>
        </is>
      </c>
    </row>
    <row r="513">
      <c r="A513" t="n">
        <v>20260600</v>
      </c>
      <c r="B513" t="inlineStr">
        <is>
          <t>2026-08-20</t>
        </is>
      </c>
      <c r="C513" t="inlineStr">
        <is>
          <t>NC</t>
        </is>
      </c>
      <c r="D513" t="inlineStr">
        <is>
          <t>두산</t>
        </is>
      </c>
      <c r="E513" t="n">
        <v>11001</v>
      </c>
      <c r="F513" t="n">
        <v>6002</v>
      </c>
      <c r="G513" t="n">
        <v>44.65</v>
      </c>
      <c r="H513" t="n">
        <v>0.4464658270764744</v>
      </c>
      <c r="I513" t="inlineStr">
        <is>
          <t>elo_sp</t>
        </is>
      </c>
    </row>
    <row r="514">
      <c r="A514" t="n">
        <v>20260601</v>
      </c>
      <c r="B514" t="inlineStr">
        <is>
          <t>2026-08-21</t>
        </is>
      </c>
      <c r="C514" t="inlineStr">
        <is>
          <t>두산</t>
        </is>
      </c>
      <c r="D514" t="inlineStr">
        <is>
          <t>롯데</t>
        </is>
      </c>
      <c r="E514" t="n">
        <v>6002</v>
      </c>
      <c r="F514" t="n">
        <v>3001</v>
      </c>
      <c r="G514" t="n">
        <v>42.52</v>
      </c>
      <c r="H514" t="n">
        <v>0.4251681317177509</v>
      </c>
      <c r="I514" t="inlineStr">
        <is>
          <t>elo_sp</t>
        </is>
      </c>
    </row>
    <row r="515">
      <c r="A515" t="n">
        <v>20260602</v>
      </c>
      <c r="B515" t="inlineStr">
        <is>
          <t>2026-08-21</t>
        </is>
      </c>
      <c r="C515" t="inlineStr">
        <is>
          <t>키움</t>
        </is>
      </c>
      <c r="D515" t="inlineStr">
        <is>
          <t>KIA</t>
        </is>
      </c>
      <c r="E515" t="n">
        <v>10001</v>
      </c>
      <c r="F515" t="n">
        <v>2002</v>
      </c>
      <c r="G515" t="n">
        <v>48.39</v>
      </c>
      <c r="H515" t="n">
        <v>0.4838692123271189</v>
      </c>
      <c r="I515" t="inlineStr">
        <is>
          <t>elo_sp</t>
        </is>
      </c>
    </row>
    <row r="516">
      <c r="A516" t="n">
        <v>20260603</v>
      </c>
      <c r="B516" t="inlineStr">
        <is>
          <t>2026-08-21</t>
        </is>
      </c>
      <c r="C516" t="inlineStr">
        <is>
          <t>SSG</t>
        </is>
      </c>
      <c r="D516" t="inlineStr">
        <is>
          <t>KT</t>
        </is>
      </c>
      <c r="E516" t="n">
        <v>9002</v>
      </c>
      <c r="F516" t="n">
        <v>12001</v>
      </c>
      <c r="G516" t="n">
        <v>35.61</v>
      </c>
      <c r="H516" t="n">
        <v>0.3560847751167465</v>
      </c>
      <c r="I516" t="inlineStr">
        <is>
          <t>elo_sp</t>
        </is>
      </c>
    </row>
    <row r="517">
      <c r="A517" t="n">
        <v>20260604</v>
      </c>
      <c r="B517" t="inlineStr">
        <is>
          <t>2026-08-21</t>
        </is>
      </c>
      <c r="C517" t="inlineStr">
        <is>
          <t>한화</t>
        </is>
      </c>
      <c r="D517" t="inlineStr">
        <is>
          <t>LG</t>
        </is>
      </c>
      <c r="E517" t="n">
        <v>7002</v>
      </c>
      <c r="F517" t="n">
        <v>5002</v>
      </c>
      <c r="G517" t="n">
        <v>31.98</v>
      </c>
      <c r="H517" t="n">
        <v>0.3198277542559283</v>
      </c>
      <c r="I517" t="inlineStr">
        <is>
          <t>elo_sp</t>
        </is>
      </c>
    </row>
    <row r="518">
      <c r="A518" t="n">
        <v>20260605</v>
      </c>
      <c r="B518" t="inlineStr">
        <is>
          <t>2026-08-21</t>
        </is>
      </c>
      <c r="C518" t="inlineStr">
        <is>
          <t>NC</t>
        </is>
      </c>
      <c r="D518" t="inlineStr">
        <is>
          <t>삼성</t>
        </is>
      </c>
      <c r="E518" t="n">
        <v>11001</v>
      </c>
      <c r="F518" t="n">
        <v>1001</v>
      </c>
      <c r="G518" t="n">
        <v>38.21</v>
      </c>
      <c r="H518" t="n">
        <v>0.3821015523498082</v>
      </c>
      <c r="I518" t="inlineStr">
        <is>
          <t>elo_sp</t>
        </is>
      </c>
    </row>
    <row r="519">
      <c r="A519" t="n">
        <v>20260607</v>
      </c>
      <c r="B519" t="inlineStr">
        <is>
          <t>2026-08-22</t>
        </is>
      </c>
      <c r="C519" t="inlineStr">
        <is>
          <t>키움</t>
        </is>
      </c>
      <c r="D519" t="inlineStr">
        <is>
          <t>KIA</t>
        </is>
      </c>
      <c r="E519" t="n">
        <v>10001</v>
      </c>
      <c r="F519" t="n">
        <v>2002</v>
      </c>
      <c r="G519" t="n">
        <v>45.31</v>
      </c>
      <c r="H519" t="n">
        <v>0.4531083438433748</v>
      </c>
      <c r="I519" t="inlineStr">
        <is>
          <t>elo_sp</t>
        </is>
      </c>
    </row>
    <row r="520">
      <c r="A520" t="n">
        <v>20260606</v>
      </c>
      <c r="B520" t="inlineStr">
        <is>
          <t>2026-08-22</t>
        </is>
      </c>
      <c r="C520" t="inlineStr">
        <is>
          <t>두산</t>
        </is>
      </c>
      <c r="D520" t="inlineStr">
        <is>
          <t>롯데</t>
        </is>
      </c>
      <c r="E520" t="n">
        <v>6002</v>
      </c>
      <c r="F520" t="n">
        <v>3001</v>
      </c>
      <c r="G520" t="n">
        <v>63.51</v>
      </c>
      <c r="H520" t="n">
        <v>0.6351286640419327</v>
      </c>
      <c r="I520" t="inlineStr">
        <is>
          <t>elo_sp</t>
        </is>
      </c>
    </row>
    <row r="521">
      <c r="A521" t="n">
        <v>20260608</v>
      </c>
      <c r="B521" t="inlineStr">
        <is>
          <t>2026-08-22</t>
        </is>
      </c>
      <c r="C521" t="inlineStr">
        <is>
          <t>SSG</t>
        </is>
      </c>
      <c r="D521" t="inlineStr">
        <is>
          <t>KT</t>
        </is>
      </c>
      <c r="E521" t="n">
        <v>9002</v>
      </c>
      <c r="F521" t="n">
        <v>12001</v>
      </c>
      <c r="G521" t="n">
        <v>61.6</v>
      </c>
      <c r="H521" t="n">
        <v>0.6159771694980424</v>
      </c>
      <c r="I521" t="inlineStr">
        <is>
          <t>elo_sp</t>
        </is>
      </c>
    </row>
    <row r="522">
      <c r="A522" t="n">
        <v>20260609</v>
      </c>
      <c r="B522" t="inlineStr">
        <is>
          <t>2026-08-22</t>
        </is>
      </c>
      <c r="C522" t="inlineStr">
        <is>
          <t>한화</t>
        </is>
      </c>
      <c r="D522" t="inlineStr">
        <is>
          <t>LG</t>
        </is>
      </c>
      <c r="E522" t="n">
        <v>7002</v>
      </c>
      <c r="F522" t="n">
        <v>5002</v>
      </c>
      <c r="G522" t="n">
        <v>38.95</v>
      </c>
      <c r="H522" t="n">
        <v>0.3895327512420179</v>
      </c>
      <c r="I522" t="inlineStr">
        <is>
          <t>elo_sp</t>
        </is>
      </c>
    </row>
    <row r="523">
      <c r="A523" t="n">
        <v>20260610</v>
      </c>
      <c r="B523" t="inlineStr">
        <is>
          <t>2026-08-22</t>
        </is>
      </c>
      <c r="C523" t="inlineStr">
        <is>
          <t>NC</t>
        </is>
      </c>
      <c r="D523" t="inlineStr">
        <is>
          <t>삼성</t>
        </is>
      </c>
      <c r="E523" t="n">
        <v>11001</v>
      </c>
      <c r="F523" t="n">
        <v>1001</v>
      </c>
      <c r="G523" t="n">
        <v>40.39</v>
      </c>
      <c r="H523" t="n">
        <v>0.4039230346180125</v>
      </c>
      <c r="I523" t="inlineStr">
        <is>
          <t>elo_sp</t>
        </is>
      </c>
    </row>
    <row r="524">
      <c r="A524" t="n">
        <v>20260612</v>
      </c>
      <c r="B524" t="inlineStr">
        <is>
          <t>2026-08-23</t>
        </is>
      </c>
      <c r="C524" t="inlineStr">
        <is>
          <t>키움</t>
        </is>
      </c>
      <c r="D524" t="inlineStr">
        <is>
          <t>KIA</t>
        </is>
      </c>
      <c r="E524" t="n">
        <v>10001</v>
      </c>
      <c r="F524" t="n">
        <v>2002</v>
      </c>
      <c r="G524" t="n">
        <v>32.86</v>
      </c>
      <c r="H524" t="n">
        <v>0.3286330162787817</v>
      </c>
      <c r="I524" t="inlineStr">
        <is>
          <t>elo_sp</t>
        </is>
      </c>
    </row>
    <row r="525">
      <c r="A525" t="n">
        <v>20260611</v>
      </c>
      <c r="B525" t="inlineStr">
        <is>
          <t>2026-08-23</t>
        </is>
      </c>
      <c r="C525" t="inlineStr">
        <is>
          <t>두산</t>
        </is>
      </c>
      <c r="D525" t="inlineStr">
        <is>
          <t>롯데</t>
        </is>
      </c>
      <c r="E525" t="n">
        <v>6002</v>
      </c>
      <c r="F525" t="n">
        <v>3001</v>
      </c>
      <c r="G525" t="n">
        <v>63.51</v>
      </c>
      <c r="H525" t="n">
        <v>0.6351294467399161</v>
      </c>
      <c r="I525" t="inlineStr">
        <is>
          <t>elo_sp</t>
        </is>
      </c>
    </row>
    <row r="526">
      <c r="A526" t="n">
        <v>20260613</v>
      </c>
      <c r="B526" t="inlineStr">
        <is>
          <t>2026-08-23</t>
        </is>
      </c>
      <c r="C526" t="inlineStr">
        <is>
          <t>SSG</t>
        </is>
      </c>
      <c r="D526" t="inlineStr">
        <is>
          <t>KT</t>
        </is>
      </c>
      <c r="E526" t="n">
        <v>9002</v>
      </c>
      <c r="F526" t="n">
        <v>12001</v>
      </c>
      <c r="G526" t="n">
        <v>61.6</v>
      </c>
      <c r="H526" t="n">
        <v>0.6159763705569059</v>
      </c>
      <c r="I526" t="inlineStr">
        <is>
          <t>elo_sp</t>
        </is>
      </c>
    </row>
    <row r="527">
      <c r="A527" t="n">
        <v>20260614</v>
      </c>
      <c r="B527" t="inlineStr">
        <is>
          <t>2026-08-23</t>
        </is>
      </c>
      <c r="C527" t="inlineStr">
        <is>
          <t>한화</t>
        </is>
      </c>
      <c r="D527" t="inlineStr">
        <is>
          <t>LG</t>
        </is>
      </c>
      <c r="E527" t="n">
        <v>7002</v>
      </c>
      <c r="F527" t="n">
        <v>5002</v>
      </c>
      <c r="G527" t="n">
        <v>38.95</v>
      </c>
      <c r="H527" t="n">
        <v>0.3895327512420179</v>
      </c>
      <c r="I527" t="inlineStr">
        <is>
          <t>elo_sp</t>
        </is>
      </c>
    </row>
    <row r="528">
      <c r="A528" t="n">
        <v>20260615</v>
      </c>
      <c r="B528" t="inlineStr">
        <is>
          <t>2026-08-23</t>
        </is>
      </c>
      <c r="C528" t="inlineStr">
        <is>
          <t>NC</t>
        </is>
      </c>
      <c r="D528" t="inlineStr">
        <is>
          <t>삼성</t>
        </is>
      </c>
      <c r="E528" t="n">
        <v>11001</v>
      </c>
      <c r="F528" t="n">
        <v>1001</v>
      </c>
      <c r="G528" t="n">
        <v>47.44</v>
      </c>
      <c r="H528" t="n">
        <v>0.474402416456783</v>
      </c>
      <c r="I528" t="inlineStr">
        <is>
          <t>elo_sp</t>
        </is>
      </c>
    </row>
    <row r="529">
      <c r="A529" t="n">
        <v>20260616</v>
      </c>
      <c r="B529" t="inlineStr">
        <is>
          <t>2026-08-25</t>
        </is>
      </c>
      <c r="C529" t="inlineStr">
        <is>
          <t>LG</t>
        </is>
      </c>
      <c r="D529" t="inlineStr">
        <is>
          <t>NC</t>
        </is>
      </c>
      <c r="E529" t="n">
        <v>5002</v>
      </c>
      <c r="F529" t="n">
        <v>11001</v>
      </c>
      <c r="G529" t="n">
        <v>55.07</v>
      </c>
      <c r="H529" t="n">
        <v>0.5507431239445525</v>
      </c>
      <c r="I529" t="inlineStr">
        <is>
          <t>elo_sp_l2</t>
        </is>
      </c>
    </row>
    <row r="530">
      <c r="A530" t="n">
        <v>20260617</v>
      </c>
      <c r="B530" t="inlineStr">
        <is>
          <t>2026-08-25</t>
        </is>
      </c>
      <c r="C530" t="inlineStr">
        <is>
          <t>키움</t>
        </is>
      </c>
      <c r="D530" t="inlineStr">
        <is>
          <t>삼성</t>
        </is>
      </c>
      <c r="E530" t="n">
        <v>10001</v>
      </c>
      <c r="F530" t="n">
        <v>1001</v>
      </c>
      <c r="G530" t="n">
        <v>48.04</v>
      </c>
      <c r="H530" t="n">
        <v>0.4804351324385534</v>
      </c>
      <c r="I530" t="inlineStr">
        <is>
          <t>elo_sp_l2</t>
        </is>
      </c>
    </row>
    <row r="531">
      <c r="A531" t="n">
        <v>20260618</v>
      </c>
      <c r="B531" t="inlineStr">
        <is>
          <t>2026-08-25</t>
        </is>
      </c>
      <c r="C531" t="inlineStr">
        <is>
          <t>SSG</t>
        </is>
      </c>
      <c r="D531" t="inlineStr">
        <is>
          <t>한화</t>
        </is>
      </c>
      <c r="E531" t="n">
        <v>9002</v>
      </c>
      <c r="F531" t="n">
        <v>7002</v>
      </c>
      <c r="G531" t="n">
        <v>48.34</v>
      </c>
      <c r="H531" t="n">
        <v>0.4833570679150573</v>
      </c>
      <c r="I531" t="inlineStr">
        <is>
          <t>elo_sp_l2</t>
        </is>
      </c>
    </row>
    <row r="532">
      <c r="A532" t="n">
        <v>20260619</v>
      </c>
      <c r="B532" t="inlineStr">
        <is>
          <t>2026-08-25</t>
        </is>
      </c>
      <c r="C532" t="inlineStr">
        <is>
          <t>KT</t>
        </is>
      </c>
      <c r="D532" t="inlineStr">
        <is>
          <t>두산</t>
        </is>
      </c>
      <c r="E532" t="n">
        <v>12001</v>
      </c>
      <c r="F532" t="n">
        <v>6002</v>
      </c>
      <c r="G532" t="n">
        <v>47.77</v>
      </c>
      <c r="H532" t="n">
        <v>0.4777244505004579</v>
      </c>
      <c r="I532" t="inlineStr">
        <is>
          <t>elo_sp_l2</t>
        </is>
      </c>
    </row>
    <row r="533">
      <c r="A533" t="n">
        <v>20260620</v>
      </c>
      <c r="B533" t="inlineStr">
        <is>
          <t>2026-08-25</t>
        </is>
      </c>
      <c r="C533" t="inlineStr">
        <is>
          <t>KIA</t>
        </is>
      </c>
      <c r="D533" t="inlineStr">
        <is>
          <t>롯데</t>
        </is>
      </c>
      <c r="E533" t="n">
        <v>2002</v>
      </c>
      <c r="F533" t="n">
        <v>3001</v>
      </c>
      <c r="G533" t="n">
        <v>39.15</v>
      </c>
      <c r="H533" t="n">
        <v>0.3915172026573597</v>
      </c>
      <c r="I533" t="inlineStr">
        <is>
          <t>elo_sp_l2</t>
        </is>
      </c>
    </row>
    <row r="534">
      <c r="A534" t="n">
        <v>20260621</v>
      </c>
      <c r="B534" t="inlineStr">
        <is>
          <t>2026-08-26</t>
        </is>
      </c>
      <c r="C534" t="inlineStr">
        <is>
          <t>LG</t>
        </is>
      </c>
      <c r="D534" t="inlineStr">
        <is>
          <t>NC</t>
        </is>
      </c>
      <c r="E534" t="n">
        <v>5002</v>
      </c>
      <c r="F534" t="n">
        <v>11001</v>
      </c>
      <c r="G534" t="n">
        <v>46.08</v>
      </c>
      <c r="H534" t="n">
        <v>0.4608203269744834</v>
      </c>
      <c r="I534" t="inlineStr">
        <is>
          <t>elo_sp_l2</t>
        </is>
      </c>
    </row>
    <row r="535">
      <c r="A535" t="n">
        <v>20260622</v>
      </c>
      <c r="B535" t="inlineStr">
        <is>
          <t>2026-08-26</t>
        </is>
      </c>
      <c r="C535" t="inlineStr">
        <is>
          <t>키움</t>
        </is>
      </c>
      <c r="D535" t="inlineStr">
        <is>
          <t>삼성</t>
        </is>
      </c>
      <c r="E535" t="n">
        <v>10001</v>
      </c>
      <c r="F535" t="n">
        <v>1001</v>
      </c>
      <c r="G535" t="n">
        <v>45.04</v>
      </c>
      <c r="H535" t="n">
        <v>0.4504230667407982</v>
      </c>
      <c r="I535" t="inlineStr">
        <is>
          <t>elo_sp_l2</t>
        </is>
      </c>
    </row>
    <row r="536">
      <c r="A536" t="n">
        <v>20260623</v>
      </c>
      <c r="B536" t="inlineStr">
        <is>
          <t>2026-08-26</t>
        </is>
      </c>
      <c r="C536" t="inlineStr">
        <is>
          <t>SSG</t>
        </is>
      </c>
      <c r="D536" t="inlineStr">
        <is>
          <t>한화</t>
        </is>
      </c>
      <c r="E536" t="n">
        <v>9002</v>
      </c>
      <c r="F536" t="n">
        <v>7002</v>
      </c>
      <c r="G536" t="n">
        <v>43.11</v>
      </c>
      <c r="H536" t="n">
        <v>0.4310526763820235</v>
      </c>
      <c r="I536" t="inlineStr">
        <is>
          <t>elo_sp_l2</t>
        </is>
      </c>
    </row>
    <row r="537">
      <c r="A537" t="n">
        <v>20260624</v>
      </c>
      <c r="B537" t="inlineStr">
        <is>
          <t>2026-08-26</t>
        </is>
      </c>
      <c r="C537" t="inlineStr">
        <is>
          <t>KT</t>
        </is>
      </c>
      <c r="D537" t="inlineStr">
        <is>
          <t>두산</t>
        </is>
      </c>
      <c r="E537" t="n">
        <v>12001</v>
      </c>
      <c r="F537" t="n">
        <v>6002</v>
      </c>
      <c r="G537" t="n">
        <v>52.7</v>
      </c>
      <c r="H537" t="n">
        <v>0.526987038886179</v>
      </c>
      <c r="I537" t="inlineStr">
        <is>
          <t>elo_sp_l2</t>
        </is>
      </c>
    </row>
    <row r="538">
      <c r="A538" t="n">
        <v>20260625</v>
      </c>
      <c r="B538" t="inlineStr">
        <is>
          <t>2026-08-26</t>
        </is>
      </c>
      <c r="C538" t="inlineStr">
        <is>
          <t>KIA</t>
        </is>
      </c>
      <c r="D538" t="inlineStr">
        <is>
          <t>롯데</t>
        </is>
      </c>
      <c r="E538" t="n">
        <v>2002</v>
      </c>
      <c r="F538" t="n">
        <v>3001</v>
      </c>
      <c r="G538" t="n">
        <v>40.8</v>
      </c>
      <c r="H538" t="n">
        <v>0.4079630087989528</v>
      </c>
      <c r="I538" t="inlineStr">
        <is>
          <t>elo_sp_l2</t>
        </is>
      </c>
    </row>
    <row r="539">
      <c r="A539" t="n">
        <v>20260626</v>
      </c>
      <c r="B539" t="inlineStr">
        <is>
          <t>2026-08-27</t>
        </is>
      </c>
      <c r="C539" t="inlineStr">
        <is>
          <t>LG</t>
        </is>
      </c>
      <c r="D539" t="inlineStr">
        <is>
          <t>NC</t>
        </is>
      </c>
      <c r="E539" t="n">
        <v>5002</v>
      </c>
      <c r="F539" t="n">
        <v>11001</v>
      </c>
      <c r="G539" t="n">
        <v>53.84</v>
      </c>
      <c r="H539" t="n">
        <v>0.5383655784780842</v>
      </c>
      <c r="I539" t="inlineStr">
        <is>
          <t>elo_sp_l2</t>
        </is>
      </c>
    </row>
    <row r="540">
      <c r="A540" t="n">
        <v>20260627</v>
      </c>
      <c r="B540" t="inlineStr">
        <is>
          <t>2026-08-27</t>
        </is>
      </c>
      <c r="C540" t="inlineStr">
        <is>
          <t>키움</t>
        </is>
      </c>
      <c r="D540" t="inlineStr">
        <is>
          <t>삼성</t>
        </is>
      </c>
      <c r="E540" t="n">
        <v>10001</v>
      </c>
      <c r="F540" t="n">
        <v>1001</v>
      </c>
      <c r="G540" t="n">
        <v>43.07</v>
      </c>
      <c r="H540" t="n">
        <v>0.4306675780791778</v>
      </c>
      <c r="I540" t="inlineStr">
        <is>
          <t>elo_sp_l2</t>
        </is>
      </c>
    </row>
    <row r="541">
      <c r="A541" t="n">
        <v>20260628</v>
      </c>
      <c r="B541" t="inlineStr">
        <is>
          <t>2026-08-27</t>
        </is>
      </c>
      <c r="C541" t="inlineStr">
        <is>
          <t>SSG</t>
        </is>
      </c>
      <c r="D541" t="inlineStr">
        <is>
          <t>한화</t>
        </is>
      </c>
      <c r="E541" t="n">
        <v>9002</v>
      </c>
      <c r="F541" t="n">
        <v>7002</v>
      </c>
      <c r="G541" t="n">
        <v>80.37</v>
      </c>
      <c r="H541" t="n">
        <v>0.8037014358127266</v>
      </c>
      <c r="I541" t="inlineStr">
        <is>
          <t>elo_sp_l2</t>
        </is>
      </c>
    </row>
    <row r="542">
      <c r="A542" t="n">
        <v>20260629</v>
      </c>
      <c r="B542" t="inlineStr">
        <is>
          <t>2026-08-27</t>
        </is>
      </c>
      <c r="C542" t="inlineStr">
        <is>
          <t>KT</t>
        </is>
      </c>
      <c r="D542" t="inlineStr">
        <is>
          <t>두산</t>
        </is>
      </c>
      <c r="E542" t="n">
        <v>12001</v>
      </c>
      <c r="F542" t="n">
        <v>6002</v>
      </c>
      <c r="G542" t="n">
        <v>64.72</v>
      </c>
      <c r="H542" t="n">
        <v>0.6471805678578536</v>
      </c>
      <c r="I542" t="inlineStr">
        <is>
          <t>elo_sp_l2</t>
        </is>
      </c>
    </row>
    <row r="543">
      <c r="A543" t="n">
        <v>20260630</v>
      </c>
      <c r="B543" t="inlineStr">
        <is>
          <t>2026-08-27</t>
        </is>
      </c>
      <c r="C543" t="inlineStr">
        <is>
          <t>KIA</t>
        </is>
      </c>
      <c r="D543" t="inlineStr">
        <is>
          <t>롯데</t>
        </is>
      </c>
      <c r="E543" t="n">
        <v>2002</v>
      </c>
      <c r="F543" t="n">
        <v>3001</v>
      </c>
      <c r="G543" t="n">
        <v>44.57</v>
      </c>
      <c r="H543" t="n">
        <v>0.445677836074832</v>
      </c>
      <c r="I543" t="inlineStr">
        <is>
          <t>elo_sp_l2</t>
        </is>
      </c>
    </row>
  </sheetData>
  <autoFilter ref="A1:K543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N15" sqref="N15"/>
    </sheetView>
  </sheetViews>
  <sheetFormatPr baseColWidth="8" defaultRowHeight="16.9"/>
  <cols>
    <col width="11.0625" bestFit="1" customWidth="1" style="6" min="1" max="1"/>
    <col width="12.125" bestFit="1" customWidth="1" style="6" min="2" max="2"/>
    <col width="13" bestFit="1" customWidth="1" style="6" min="3" max="3"/>
    <col width="7.1875" bestFit="1" customWidth="1" style="6" min="4" max="4"/>
    <col width="7.1875" customWidth="1" style="6" min="5" max="5"/>
    <col width="12.25" bestFit="1" customWidth="1" style="6" min="6" max="6"/>
    <col width="13" bestFit="1" customWidth="1" style="6" min="7" max="7"/>
    <col width="7.1875" bestFit="1" customWidth="1" style="6" min="8" max="8"/>
    <col width="12.25" bestFit="1" customWidth="1" style="6" min="10" max="10"/>
    <col width="13" bestFit="1" customWidth="1" style="6" min="11" max="11"/>
    <col width="7.1875" bestFit="1" customWidth="1" style="6" min="12" max="12"/>
    <col width="12.5625" bestFit="1" customWidth="1" style="6" min="13" max="13"/>
    <col width="12.25" bestFit="1" customWidth="1" style="6" min="14" max="14"/>
    <col width="24" bestFit="1" customWidth="1" style="6" min="15" max="15"/>
    <col width="15.1875" bestFit="1" customWidth="1" style="6" min="16" max="16"/>
  </cols>
  <sheetData>
    <row r="1">
      <c r="A1" t="inlineStr">
        <is>
          <t>Model Summary</t>
        </is>
      </c>
      <c r="F1" t="inlineStr">
        <is>
          <t>Confidence Analysis</t>
        </is>
      </c>
      <c r="J1" t="inlineStr">
        <is>
          <t>Prediction Direction</t>
        </is>
      </c>
      <c r="N1" t="inlineStr">
        <is>
          <t>Calibration</t>
        </is>
      </c>
    </row>
    <row r="2">
      <c r="B2" s="2" t="inlineStr">
        <is>
          <t>값</t>
        </is>
      </c>
      <c r="G2" s="2" t="inlineStr">
        <is>
          <t>값</t>
        </is>
      </c>
      <c r="K2" s="2" t="inlineStr">
        <is>
          <t>값</t>
        </is>
      </c>
      <c r="O2" s="2" t="inlineStr">
        <is>
          <t>값</t>
        </is>
      </c>
    </row>
    <row r="3">
      <c r="A3" s="2" t="inlineStr">
        <is>
          <t>행 레이블</t>
        </is>
      </c>
      <c r="B3" t="inlineStr">
        <is>
          <t>accuracy</t>
        </is>
      </c>
      <c r="C3" t="inlineStr">
        <is>
          <t>Brier Score</t>
        </is>
      </c>
      <c r="D3" t="inlineStr">
        <is>
          <t>경기 수</t>
        </is>
      </c>
      <c r="F3" s="2" t="inlineStr">
        <is>
          <t>행 레이블</t>
        </is>
      </c>
      <c r="G3" t="inlineStr">
        <is>
          <t>accuracy</t>
        </is>
      </c>
      <c r="H3" t="inlineStr">
        <is>
          <t>경기 수</t>
        </is>
      </c>
      <c r="J3" s="2" t="inlineStr">
        <is>
          <t>행 레이블</t>
        </is>
      </c>
      <c r="K3" t="inlineStr">
        <is>
          <t>accuracy</t>
        </is>
      </c>
      <c r="L3" t="inlineStr">
        <is>
          <t>경기 수</t>
        </is>
      </c>
      <c r="N3" s="2" t="inlineStr">
        <is>
          <t>행 레이블</t>
        </is>
      </c>
      <c r="O3" t="inlineStr">
        <is>
          <t>Avg Predicted Probability</t>
        </is>
      </c>
      <c r="P3" t="inlineStr">
        <is>
          <t>Actual Accuracy</t>
        </is>
      </c>
    </row>
    <row r="4">
      <c r="A4" s="3" t="inlineStr">
        <is>
          <t>core_full</t>
        </is>
      </c>
      <c r="B4" t="n">
        <v>0.5471698113207547</v>
      </c>
      <c r="C4" t="n">
        <v>0.2888076363372655</v>
      </c>
      <c r="D4" t="n">
        <v>53</v>
      </c>
      <c r="F4" s="3" t="inlineStr">
        <is>
          <t>core_full</t>
        </is>
      </c>
      <c r="G4" t="n">
        <v>0.5471698113207547</v>
      </c>
      <c r="H4" t="n">
        <v>54</v>
      </c>
      <c r="J4" s="3" t="inlineStr">
        <is>
          <t>core_full</t>
        </is>
      </c>
      <c r="K4" t="n">
        <v>0.5471698113207547</v>
      </c>
      <c r="L4" t="n">
        <v>54</v>
      </c>
      <c r="N4" s="3" t="inlineStr">
        <is>
          <t>core_full</t>
        </is>
      </c>
      <c r="O4" t="n">
        <v>0.6379488135875225</v>
      </c>
      <c r="P4" t="n">
        <v>0.5471698113207547</v>
      </c>
    </row>
    <row r="5">
      <c r="A5" s="3" t="inlineStr">
        <is>
          <t>core_sp</t>
        </is>
      </c>
      <c r="B5" t="n">
        <v>0.4716981132075472</v>
      </c>
      <c r="C5" t="n">
        <v>0.2554262090267208</v>
      </c>
      <c r="D5" t="n">
        <v>53</v>
      </c>
      <c r="F5" s="3" t="inlineStr">
        <is>
          <t>core_sp</t>
        </is>
      </c>
      <c r="G5" t="n">
        <v>0.4716981132075472</v>
      </c>
      <c r="H5" t="n">
        <v>56</v>
      </c>
      <c r="J5" s="4" t="inlineStr">
        <is>
          <t>AWAY</t>
        </is>
      </c>
      <c r="K5" t="n">
        <v>0.6333333333333333</v>
      </c>
      <c r="L5" t="n">
        <v>31</v>
      </c>
      <c r="N5" s="3" t="inlineStr">
        <is>
          <t>core_sp</t>
        </is>
      </c>
      <c r="O5" t="n">
        <v>0.6186486648599123</v>
      </c>
      <c r="P5" t="n">
        <v>0.4716981132075472</v>
      </c>
    </row>
    <row r="6">
      <c r="A6" s="3" t="inlineStr">
        <is>
          <t>elo_full</t>
        </is>
      </c>
      <c r="B6" t="n">
        <v>0.44</v>
      </c>
      <c r="C6" t="n">
        <v>0.2704822895034812</v>
      </c>
      <c r="D6" t="n">
        <v>25</v>
      </c>
      <c r="F6" s="3" t="inlineStr">
        <is>
          <t>elo_full</t>
        </is>
      </c>
      <c r="G6" t="n">
        <v>0.44</v>
      </c>
      <c r="H6" t="n">
        <v>25</v>
      </c>
      <c r="J6" s="4" t="inlineStr">
        <is>
          <t>HOME</t>
        </is>
      </c>
      <c r="K6" t="n">
        <v>0.4347826086956522</v>
      </c>
      <c r="L6" t="n">
        <v>23</v>
      </c>
      <c r="N6" s="3" t="inlineStr">
        <is>
          <t>elo_full</t>
        </is>
      </c>
      <c r="O6" t="n">
        <v>0.6038615959305372</v>
      </c>
      <c r="P6" t="n">
        <v>0.44</v>
      </c>
    </row>
    <row r="7">
      <c r="A7" s="3" t="inlineStr">
        <is>
          <t>elo_sp</t>
        </is>
      </c>
      <c r="B7" t="n">
        <v>0.5508021390374331</v>
      </c>
      <c r="C7" t="n">
        <v>0.2579248108523595</v>
      </c>
      <c r="D7" t="n">
        <v>187</v>
      </c>
      <c r="F7" s="3" t="inlineStr">
        <is>
          <t>elo_sp</t>
        </is>
      </c>
      <c r="G7" t="n">
        <v>0.5508021390374331</v>
      </c>
      <c r="H7" t="n">
        <v>205</v>
      </c>
      <c r="J7" s="3" t="inlineStr">
        <is>
          <t>core_sp</t>
        </is>
      </c>
      <c r="K7" t="n">
        <v>0.4716981132075472</v>
      </c>
      <c r="L7" t="n">
        <v>56</v>
      </c>
      <c r="N7" s="3" t="inlineStr">
        <is>
          <t>elo_sp</t>
        </is>
      </c>
      <c r="O7" t="n">
        <v>0.5984721691000291</v>
      </c>
      <c r="P7" t="n">
        <v>0.5508021390374331</v>
      </c>
    </row>
    <row r="8">
      <c r="A8" s="3" t="inlineStr">
        <is>
          <t>full</t>
        </is>
      </c>
      <c r="B8" t="n">
        <v>0.4</v>
      </c>
      <c r="C8" t="n">
        <v>0.2410552833333333</v>
      </c>
      <c r="D8" t="n">
        <v>15</v>
      </c>
      <c r="F8" s="4" t="inlineStr">
        <is>
          <t>50~55</t>
        </is>
      </c>
      <c r="G8" t="n">
        <v>0.4852941176470588</v>
      </c>
      <c r="H8" t="n">
        <v>70</v>
      </c>
      <c r="J8" s="4" t="inlineStr">
        <is>
          <t>AWAY</t>
        </is>
      </c>
      <c r="K8" t="n">
        <v>0.3636363636363636</v>
      </c>
      <c r="L8" t="n">
        <v>23</v>
      </c>
      <c r="N8" s="4" t="inlineStr">
        <is>
          <t>50~55</t>
        </is>
      </c>
      <c r="O8" t="n">
        <v>0.5261305084074769</v>
      </c>
      <c r="P8" t="n">
        <v>0.4852941176470588</v>
      </c>
    </row>
    <row r="9">
      <c r="A9" s="3" t="inlineStr">
        <is>
          <t>non</t>
        </is>
      </c>
      <c r="B9" t="n">
        <v>0.5294117647058824</v>
      </c>
      <c r="C9" t="n">
        <v>0.2430434052941177</v>
      </c>
      <c r="D9" t="n">
        <v>17</v>
      </c>
      <c r="F9" s="4" t="inlineStr">
        <is>
          <t>55~60</t>
        </is>
      </c>
      <c r="G9" t="n">
        <v>0.4666666666666667</v>
      </c>
      <c r="H9" t="n">
        <v>56</v>
      </c>
      <c r="J9" s="4" t="inlineStr">
        <is>
          <t>HOME</t>
        </is>
      </c>
      <c r="K9" t="n">
        <v>0.5483870967741935</v>
      </c>
      <c r="L9" t="n">
        <v>33</v>
      </c>
      <c r="N9" s="4" t="inlineStr">
        <is>
          <t>55~60</t>
        </is>
      </c>
      <c r="O9" t="n">
        <v>0.575412733843599</v>
      </c>
      <c r="P9" t="n">
        <v>0.4666666666666667</v>
      </c>
    </row>
    <row r="10">
      <c r="A10" s="3" t="inlineStr">
        <is>
          <t>sp</t>
        </is>
      </c>
      <c r="B10" t="n">
        <v>0.36</v>
      </c>
      <c r="C10" t="n">
        <v>0.2636448272</v>
      </c>
      <c r="D10" t="n">
        <v>25</v>
      </c>
      <c r="F10" s="4" t="inlineStr">
        <is>
          <t>60~65</t>
        </is>
      </c>
      <c r="G10" t="n">
        <v>0.5806451612903226</v>
      </c>
      <c r="H10" t="n">
        <v>33</v>
      </c>
      <c r="J10" s="3" t="inlineStr">
        <is>
          <t>elo_full</t>
        </is>
      </c>
      <c r="K10" t="n">
        <v>0.44</v>
      </c>
      <c r="L10" t="n">
        <v>25</v>
      </c>
      <c r="N10" s="4" t="inlineStr">
        <is>
          <t>60~65</t>
        </is>
      </c>
      <c r="O10" t="n">
        <v>0.6259384108571104</v>
      </c>
      <c r="P10" t="n">
        <v>0.5806451612903226</v>
      </c>
    </row>
    <row r="11">
      <c r="A11" s="3" t="inlineStr">
        <is>
          <t>(비어 있음)</t>
        </is>
      </c>
      <c r="F11" s="4" t="inlineStr">
        <is>
          <t>65~70</t>
        </is>
      </c>
      <c r="G11" t="n">
        <v>0.7272727272727273</v>
      </c>
      <c r="H11" t="n">
        <v>24</v>
      </c>
      <c r="J11" s="4" t="inlineStr">
        <is>
          <t>AWAY</t>
        </is>
      </c>
      <c r="K11" t="n">
        <v>0.4375</v>
      </c>
      <c r="L11" t="n">
        <v>16</v>
      </c>
      <c r="N11" s="4" t="inlineStr">
        <is>
          <t>65~70</t>
        </is>
      </c>
      <c r="O11" t="n">
        <v>0.6705906764582181</v>
      </c>
      <c r="P11" t="n">
        <v>0.7272727272727273</v>
      </c>
    </row>
    <row r="12">
      <c r="A12" s="3" t="inlineStr">
        <is>
          <t>총합계</t>
        </is>
      </c>
      <c r="B12" t="n">
        <v>0.512</v>
      </c>
      <c r="C12" t="n">
        <v>0.2618055426433856</v>
      </c>
      <c r="D12" t="n">
        <v>375</v>
      </c>
      <c r="F12" s="4" t="inlineStr">
        <is>
          <t>70~100</t>
        </is>
      </c>
      <c r="G12" t="n">
        <v>0.7142857142857143</v>
      </c>
      <c r="H12" t="n">
        <v>22</v>
      </c>
      <c r="J12" s="4" t="inlineStr">
        <is>
          <t>HOME</t>
        </is>
      </c>
      <c r="K12" t="n">
        <v>0.4444444444444444</v>
      </c>
      <c r="L12" t="n">
        <v>9</v>
      </c>
      <c r="N12" s="4" t="inlineStr">
        <is>
          <t>70~100</t>
        </is>
      </c>
      <c r="O12" t="n">
        <v>0.7674728267481431</v>
      </c>
      <c r="P12" t="n">
        <v>0.7142857142857143</v>
      </c>
    </row>
    <row r="13">
      <c r="F13" s="3" t="inlineStr">
        <is>
          <t>full</t>
        </is>
      </c>
      <c r="G13" t="n">
        <v>0.4</v>
      </c>
      <c r="H13" t="n">
        <v>15</v>
      </c>
      <c r="J13" s="3" t="inlineStr">
        <is>
          <t>elo_sp</t>
        </is>
      </c>
      <c r="K13" t="n">
        <v>0.5508021390374331</v>
      </c>
      <c r="L13" t="n">
        <v>205</v>
      </c>
      <c r="N13" s="3" t="inlineStr">
        <is>
          <t>full</t>
        </is>
      </c>
      <c r="O13" t="n">
        <v>0.69534</v>
      </c>
      <c r="P13" t="n">
        <v>0.4</v>
      </c>
    </row>
    <row r="14">
      <c r="F14" s="3" t="inlineStr">
        <is>
          <t>non</t>
        </is>
      </c>
      <c r="G14" t="n">
        <v>0.5294117647058824</v>
      </c>
      <c r="H14" t="n">
        <v>20</v>
      </c>
      <c r="J14" s="4" t="inlineStr">
        <is>
          <t>AWAY</t>
        </is>
      </c>
      <c r="K14" t="n">
        <v>0.5108695652173914</v>
      </c>
      <c r="L14" t="n">
        <v>102</v>
      </c>
      <c r="N14" s="3" t="inlineStr">
        <is>
          <t>non</t>
        </is>
      </c>
      <c r="O14" t="n">
        <v>0.5305950000000001</v>
      </c>
      <c r="P14" t="n">
        <v>0.5294117647058824</v>
      </c>
    </row>
    <row r="15">
      <c r="F15" s="3" t="inlineStr">
        <is>
          <t>sp</t>
        </is>
      </c>
      <c r="G15" t="n">
        <v>0.36</v>
      </c>
      <c r="H15" t="n">
        <v>30</v>
      </c>
      <c r="J15" s="4" t="inlineStr">
        <is>
          <t>HOME</t>
        </is>
      </c>
      <c r="K15" t="n">
        <v>0.5894736842105263</v>
      </c>
      <c r="L15" t="n">
        <v>103</v>
      </c>
      <c r="N15" s="3" t="inlineStr">
        <is>
          <t>sp</t>
        </is>
      </c>
      <c r="O15" t="n">
        <v>0.6526666666666665</v>
      </c>
      <c r="P15" t="n">
        <v>0.36</v>
      </c>
    </row>
    <row r="16">
      <c r="F16" s="3" t="inlineStr">
        <is>
          <t>(비어 있음)</t>
        </is>
      </c>
      <c r="J16" s="3" t="inlineStr">
        <is>
          <t>full</t>
        </is>
      </c>
      <c r="K16" t="n">
        <v>0.4</v>
      </c>
      <c r="L16" t="n">
        <v>15</v>
      </c>
      <c r="N16" s="3" t="inlineStr">
        <is>
          <t>(비어 있음)</t>
        </is>
      </c>
    </row>
    <row r="17">
      <c r="F17" s="3" t="inlineStr">
        <is>
          <t>총합계</t>
        </is>
      </c>
      <c r="G17" t="n">
        <v>0.512</v>
      </c>
      <c r="H17" t="n">
        <v>405</v>
      </c>
      <c r="J17" s="3" t="inlineStr">
        <is>
          <t>non</t>
        </is>
      </c>
      <c r="K17" t="n">
        <v>0.5294117647058824</v>
      </c>
      <c r="L17" t="n">
        <v>20</v>
      </c>
      <c r="N17" s="3" t="inlineStr">
        <is>
          <t>총합계</t>
        </is>
      </c>
      <c r="O17" t="n">
        <v>0.611108384517656</v>
      </c>
      <c r="P17" t="n">
        <v>0.512</v>
      </c>
    </row>
    <row r="18">
      <c r="J18" s="3" t="inlineStr">
        <is>
          <t>sp</t>
        </is>
      </c>
      <c r="K18" t="n">
        <v>0.36</v>
      </c>
      <c r="L18" t="n">
        <v>30</v>
      </c>
    </row>
    <row r="19">
      <c r="J19" s="3" t="inlineStr">
        <is>
          <t>(비어 있음)</t>
        </is>
      </c>
    </row>
    <row r="20">
      <c r="J20" s="3" t="inlineStr">
        <is>
          <t>총합계</t>
        </is>
      </c>
      <c r="K20" t="n">
        <v>0.512</v>
      </c>
      <c r="L20" t="n">
        <v>405</v>
      </c>
    </row>
  </sheetData>
  <conditionalFormatting sqref="B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2026-04-28T07:04:35Z</dcterms:created>
  <dcterms:modified xmlns:dcterms="http://purl.org/dc/terms/" xmlns:xsi="http://www.w3.org/2001/XMLSchema-instance" xsi:type="dcterms:W3CDTF">2026-08-27T00:13:53Z</dcterms:modified>
  <cp:lastModifiedBy>User</cp:lastModifiedBy>
</cp:coreProperties>
</file>