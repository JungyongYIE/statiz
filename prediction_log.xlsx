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1600" windowHeight="9068" tabRatio="600" firstSheet="0" activeTab="0" autoFilterDateGrouping="1"/>
  </bookViews>
  <sheets>
    <sheet xmlns:r="http://schemas.openxmlformats.org/officeDocument/2006/relationships" name="Raw_Submission_Log" sheetId="1" state="visible" r:id="rId1"/>
  </sheets>
  <definedNames>
    <definedName name="_xlnm._FilterDatabase" localSheetId="0" hidden="1">'Raw_Submission_Log'!$A$1:$K$241</definedName>
  </definedNames>
  <calcPr calcId="191029" fullCalcOnLoad="1"/>
  <pivotCaches>
    <pivotCache xmlns:r="http://schemas.openxmlformats.org/officeDocument/2006/relationships" cacheId="6" r:id="rId2"/>
  </pivotCaches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pivotCacheDefinition" Target="/xl/pivotCache/pivotCacheDefinition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User" refreshedDate="46174.58518634259" createdVersion="6" refreshedVersion="6" minRefreshableVersion="3" recordCount="236" r:id="rId1">
  <cacheSource type="worksheet">
    <worksheetSource ref="I1:K1048576" sheet="Raw_Submission_Log"/>
  </cacheSource>
  <cacheFields count="3">
    <cacheField name="model_name" uniqueList="1" numFmtId="0" sqlType="0" hierarchy="0" level="0" databaseField="1">
      <sharedItems count="8" containsBlank="1">
        <s v="full"/>
        <s v="sp"/>
        <s v="non"/>
        <s v="core_full"/>
        <s v="core_sp"/>
        <s v="elo_sp"/>
        <s v="elo_full"/>
        <m/>
      </sharedItems>
    </cacheField>
    <cacheField name="result" uniqueList="1" numFmtId="0" sqlType="0" hierarchy="0" level="0" databaseField="1">
      <sharedItems count="0" containsBlank="1" containsInteger="1" containsMixedTypes="1" containsNumber="1" minValue="0" maxValue="1"/>
    </cacheField>
    <cacheField name="correct" uniqueList="1" numFmtId="0" sqlType="0" hierarchy="0" level="0" databaseField="1">
      <sharedItems count="0" containsBlank="1" containsInteger="1" containsMixedTypes="1" containsNumber="1" minValue="0" maxValue="1"/>
    </cacheField>
  </cacheFields>
</pivotCacheDefinition>
</file>

<file path=xl/pivotCache/pivotCacheRecords1.xml><?xml version="1.0" encoding="utf-8"?>
<pivotCacheRecords xmlns="http://schemas.openxmlformats.org/spreadsheetml/2006/main" count="236">
  <r>
    <x v="0"/>
    <n v="1"/>
    <n v="1"/>
  </r>
  <r>
    <x v="0"/>
    <n v="0"/>
    <n v="0"/>
  </r>
  <r>
    <x v="0"/>
    <n v="1"/>
    <n v="0"/>
  </r>
  <r>
    <x v="0"/>
    <n v="1"/>
    <n v="0"/>
  </r>
  <r>
    <x v="0"/>
    <n v="0"/>
    <n v="1"/>
  </r>
  <r>
    <x v="1"/>
    <s v="cancel"/>
    <s v=""/>
  </r>
  <r>
    <x v="1"/>
    <s v="cancel"/>
    <s v=""/>
  </r>
  <r>
    <x v="1"/>
    <s v="cancel"/>
    <s v=""/>
  </r>
  <r>
    <x v="1"/>
    <s v="cancel"/>
    <s v=""/>
  </r>
  <r>
    <x v="1"/>
    <s v="cancel"/>
    <s v=""/>
  </r>
  <r>
    <x v="1"/>
    <n v="1"/>
    <n v="0"/>
  </r>
  <r>
    <x v="1"/>
    <n v="0"/>
    <n v="0"/>
  </r>
  <r>
    <x v="1"/>
    <n v="0"/>
    <n v="0"/>
  </r>
  <r>
    <x v="1"/>
    <n v="0"/>
    <n v="1"/>
  </r>
  <r>
    <x v="1"/>
    <n v="1"/>
    <n v="0"/>
  </r>
  <r>
    <x v="1"/>
    <n v="1"/>
    <n v="1"/>
  </r>
  <r>
    <x v="1"/>
    <n v="0"/>
    <n v="0"/>
  </r>
  <r>
    <x v="1"/>
    <n v="1"/>
    <n v="0"/>
  </r>
  <r>
    <x v="1"/>
    <n v="0"/>
    <n v="0"/>
  </r>
  <r>
    <x v="1"/>
    <n v="1"/>
    <n v="0"/>
  </r>
  <r>
    <x v="1"/>
    <n v="1"/>
    <n v="0"/>
  </r>
  <r>
    <x v="1"/>
    <n v="1"/>
    <n v="0"/>
  </r>
  <r>
    <x v="1"/>
    <n v="1"/>
    <n v="1"/>
  </r>
  <r>
    <x v="1"/>
    <n v="0"/>
    <n v="1"/>
  </r>
  <r>
    <x v="1"/>
    <n v="1"/>
    <n v="1"/>
  </r>
  <r>
    <x v="2"/>
    <n v="1"/>
    <n v="1"/>
  </r>
  <r>
    <x v="2"/>
    <n v="0"/>
    <n v="0"/>
  </r>
  <r>
    <x v="2"/>
    <n v="0"/>
    <n v="1"/>
  </r>
  <r>
    <x v="2"/>
    <n v="1"/>
    <n v="0"/>
  </r>
  <r>
    <x v="2"/>
    <n v="1"/>
    <n v="1"/>
  </r>
  <r>
    <x v="2"/>
    <n v="0"/>
    <n v="0"/>
  </r>
  <r>
    <x v="2"/>
    <n v="1"/>
    <n v="1"/>
  </r>
  <r>
    <x v="2"/>
    <n v="0"/>
    <n v="1"/>
  </r>
  <r>
    <x v="2"/>
    <n v="1"/>
    <n v="0"/>
  </r>
  <r>
    <x v="2"/>
    <n v="0"/>
    <n v="0"/>
  </r>
  <r>
    <x v="2"/>
    <n v="1"/>
    <n v="1"/>
  </r>
  <r>
    <x v="2"/>
    <n v="1"/>
    <n v="1"/>
  </r>
  <r>
    <x v="2"/>
    <n v="0"/>
    <n v="1"/>
  </r>
  <r>
    <x v="2"/>
    <n v="1"/>
    <n v="0"/>
  </r>
  <r>
    <x v="2"/>
    <n v="0"/>
    <n v="0"/>
  </r>
  <r>
    <x v="2"/>
    <n v="0"/>
    <n v="0"/>
  </r>
  <r>
    <x v="2"/>
    <n v="1"/>
    <n v="1"/>
  </r>
  <r>
    <x v="2"/>
    <s v="cancel"/>
    <s v=""/>
  </r>
  <r>
    <x v="2"/>
    <s v="cancel"/>
    <s v=""/>
  </r>
  <r>
    <x v="2"/>
    <s v="cancel"/>
    <s v=""/>
  </r>
  <r>
    <x v="1"/>
    <n v="1"/>
    <n v="0"/>
  </r>
  <r>
    <x v="1"/>
    <n v="1"/>
    <n v="1"/>
  </r>
  <r>
    <x v="1"/>
    <n v="1"/>
    <n v="0"/>
  </r>
  <r>
    <x v="1"/>
    <n v="0"/>
    <n v="1"/>
  </r>
  <r>
    <x v="1"/>
    <n v="0"/>
    <n v="0"/>
  </r>
  <r>
    <x v="1"/>
    <n v="1"/>
    <n v="1"/>
  </r>
  <r>
    <x v="1"/>
    <n v="0"/>
    <n v="0"/>
  </r>
  <r>
    <x v="1"/>
    <n v="0"/>
    <n v="0"/>
  </r>
  <r>
    <x v="1"/>
    <n v="1"/>
    <n v="1"/>
  </r>
  <r>
    <x v="1"/>
    <n v="0"/>
    <n v="0"/>
  </r>
  <r>
    <x v="0"/>
    <n v="1"/>
    <n v="1"/>
  </r>
  <r>
    <x v="0"/>
    <n v="1"/>
    <n v="0"/>
  </r>
  <r>
    <x v="0"/>
    <n v="1"/>
    <n v="1"/>
  </r>
  <r>
    <x v="0"/>
    <n v="0"/>
    <n v="0"/>
  </r>
  <r>
    <x v="0"/>
    <n v="0"/>
    <n v="0"/>
  </r>
  <r>
    <x v="0"/>
    <n v="1"/>
    <n v="0"/>
  </r>
  <r>
    <x v="0"/>
    <n v="1"/>
    <n v="1"/>
  </r>
  <r>
    <x v="0"/>
    <n v="1"/>
    <n v="0"/>
  </r>
  <r>
    <x v="0"/>
    <n v="0"/>
    <n v="0"/>
  </r>
  <r>
    <x v="0"/>
    <n v="0"/>
    <n v="1"/>
  </r>
  <r>
    <x v="3"/>
    <n v="0"/>
    <n v="1"/>
  </r>
  <r>
    <x v="3"/>
    <n v="0"/>
    <n v="1"/>
  </r>
  <r>
    <x v="3"/>
    <n v="1"/>
    <n v="1"/>
  </r>
  <r>
    <x v="3"/>
    <n v="0"/>
    <n v="1"/>
  </r>
  <r>
    <x v="3"/>
    <n v="1"/>
    <n v="0"/>
  </r>
  <r>
    <x v="3"/>
    <n v="0"/>
    <n v="0"/>
  </r>
  <r>
    <x v="3"/>
    <n v="1"/>
    <n v="1"/>
  </r>
  <r>
    <x v="3"/>
    <n v="1"/>
    <n v="0"/>
  </r>
  <r>
    <x v="3"/>
    <n v="0"/>
    <n v="0"/>
  </r>
  <r>
    <x v="3"/>
    <n v="1"/>
    <n v="1"/>
  </r>
  <r>
    <x v="4"/>
    <n v="0"/>
    <n v="0"/>
  </r>
  <r>
    <x v="4"/>
    <n v="1"/>
    <n v="0"/>
  </r>
  <r>
    <x v="4"/>
    <n v="1"/>
    <n v="0"/>
  </r>
  <r>
    <x v="4"/>
    <n v="1"/>
    <n v="0"/>
  </r>
  <r>
    <x v="4"/>
    <n v="1"/>
    <n v="0"/>
  </r>
  <r>
    <x v="3"/>
    <n v="1"/>
    <n v="1"/>
  </r>
  <r>
    <x v="3"/>
    <n v="1"/>
    <n v="0"/>
  </r>
  <r>
    <x v="3"/>
    <n v="0"/>
    <n v="1"/>
  </r>
  <r>
    <x v="3"/>
    <n v="0"/>
    <n v="1"/>
  </r>
  <r>
    <x v="3"/>
    <s v="draw"/>
    <s v=""/>
  </r>
  <r>
    <x v="3"/>
    <n v="0"/>
    <n v="1"/>
  </r>
  <r>
    <x v="3"/>
    <n v="1"/>
    <n v="0"/>
  </r>
  <r>
    <x v="3"/>
    <n v="1"/>
    <n v="1"/>
  </r>
  <r>
    <x v="3"/>
    <n v="1"/>
    <n v="0"/>
  </r>
  <r>
    <x v="3"/>
    <n v="1"/>
    <n v="0"/>
  </r>
  <r>
    <x v="4"/>
    <n v="1"/>
    <n v="1"/>
  </r>
  <r>
    <x v="4"/>
    <n v="1"/>
    <n v="1"/>
  </r>
  <r>
    <x v="4"/>
    <n v="0"/>
    <n v="0"/>
  </r>
  <r>
    <x v="4"/>
    <n v="0"/>
    <n v="1"/>
  </r>
  <r>
    <x v="4"/>
    <n v="0"/>
    <n v="0"/>
  </r>
  <r>
    <x v="4"/>
    <n v="1"/>
    <n v="1"/>
  </r>
  <r>
    <x v="4"/>
    <n v="0"/>
    <n v="0"/>
  </r>
  <r>
    <x v="4"/>
    <n v="0"/>
    <n v="0"/>
  </r>
  <r>
    <x v="4"/>
    <n v="1"/>
    <n v="1"/>
  </r>
  <r>
    <x v="4"/>
    <n v="1"/>
    <n v="0"/>
  </r>
  <r>
    <x v="4"/>
    <n v="1"/>
    <n v="1"/>
  </r>
  <r>
    <x v="4"/>
    <n v="0"/>
    <n v="1"/>
  </r>
  <r>
    <x v="4"/>
    <n v="0"/>
    <n v="1"/>
  </r>
  <r>
    <x v="4"/>
    <n v="1"/>
    <n v="1"/>
  </r>
  <r>
    <x v="4"/>
    <n v="0"/>
    <n v="0"/>
  </r>
  <r>
    <x v="4"/>
    <n v="0"/>
    <n v="1"/>
  </r>
  <r>
    <x v="4"/>
    <n v="1"/>
    <n v="1"/>
  </r>
  <r>
    <x v="4"/>
    <n v="1"/>
    <n v="1"/>
  </r>
  <r>
    <x v="4"/>
    <n v="0"/>
    <n v="0"/>
  </r>
  <r>
    <x v="4"/>
    <n v="1"/>
    <n v="0"/>
  </r>
  <r>
    <x v="3"/>
    <n v="0"/>
    <n v="0"/>
  </r>
  <r>
    <x v="3"/>
    <n v="0"/>
    <n v="1"/>
  </r>
  <r>
    <x v="3"/>
    <n v="0"/>
    <n v="0"/>
  </r>
  <r>
    <x v="3"/>
    <n v="1"/>
    <n v="1"/>
  </r>
  <r>
    <x v="3"/>
    <n v="0"/>
    <n v="0"/>
  </r>
  <r>
    <x v="4"/>
    <n v="1"/>
    <n v="1"/>
  </r>
  <r>
    <x v="4"/>
    <s v="draw"/>
    <s v=""/>
  </r>
  <r>
    <x v="4"/>
    <n v="1"/>
    <n v="0"/>
  </r>
  <r>
    <x v="4"/>
    <n v="1"/>
    <n v="0"/>
  </r>
  <r>
    <x v="4"/>
    <n v="1"/>
    <n v="0"/>
  </r>
  <r>
    <x v="3"/>
    <n v="1"/>
    <n v="0"/>
  </r>
  <r>
    <x v="3"/>
    <n v="1"/>
    <n v="0"/>
  </r>
  <r>
    <x v="3"/>
    <n v="0"/>
    <n v="1"/>
  </r>
  <r>
    <x v="3"/>
    <n v="1"/>
    <n v="1"/>
  </r>
  <r>
    <x v="3"/>
    <n v="0"/>
    <n v="0"/>
  </r>
  <r>
    <x v="3"/>
    <n v="0"/>
    <n v="1"/>
  </r>
  <r>
    <x v="3"/>
    <n v="0"/>
    <n v="1"/>
  </r>
  <r>
    <x v="4"/>
    <s v="cancel"/>
    <s v=""/>
  </r>
  <r>
    <x v="3"/>
    <n v="1"/>
    <n v="1"/>
  </r>
  <r>
    <x v="3"/>
    <n v="0"/>
    <n v="1"/>
  </r>
  <r>
    <x v="3"/>
    <n v="0"/>
    <n v="0"/>
  </r>
  <r>
    <x v="3"/>
    <n v="0"/>
    <n v="0"/>
  </r>
  <r>
    <x v="3"/>
    <n v="0"/>
    <n v="1"/>
  </r>
  <r>
    <x v="3"/>
    <n v="0"/>
    <n v="0"/>
  </r>
  <r>
    <x v="3"/>
    <n v="0"/>
    <n v="1"/>
  </r>
  <r>
    <x v="4"/>
    <n v="1"/>
    <n v="1"/>
  </r>
  <r>
    <x v="4"/>
    <n v="1"/>
    <n v="1"/>
  </r>
  <r>
    <x v="4"/>
    <s v="draw"/>
    <s v=""/>
  </r>
  <r>
    <x v="4"/>
    <n v="0"/>
    <n v="0"/>
  </r>
  <r>
    <x v="4"/>
    <n v="0"/>
    <n v="1"/>
  </r>
  <r>
    <x v="3"/>
    <n v="1"/>
    <n v="1"/>
  </r>
  <r>
    <x v="3"/>
    <n v="1"/>
    <n v="0"/>
  </r>
  <r>
    <x v="3"/>
    <n v="1"/>
    <n v="0"/>
  </r>
  <r>
    <x v="3"/>
    <n v="1"/>
    <n v="1"/>
  </r>
  <r>
    <x v="3"/>
    <n v="0"/>
    <n v="1"/>
  </r>
  <r>
    <x v="3"/>
    <n v="0"/>
    <n v="1"/>
  </r>
  <r>
    <x v="3"/>
    <n v="0"/>
    <n v="1"/>
  </r>
  <r>
    <x v="3"/>
    <n v="0"/>
    <n v="0"/>
  </r>
  <r>
    <x v="3"/>
    <n v="0"/>
    <n v="0"/>
  </r>
  <r>
    <x v="3"/>
    <n v="0"/>
    <n v="0"/>
  </r>
  <r>
    <x v="4"/>
    <n v="1"/>
    <n v="0"/>
  </r>
  <r>
    <x v="4"/>
    <n v="1"/>
    <n v="1"/>
  </r>
  <r>
    <x v="4"/>
    <n v="1"/>
    <n v="1"/>
  </r>
  <r>
    <x v="4"/>
    <n v="1"/>
    <n v="0"/>
  </r>
  <r>
    <x v="4"/>
    <n v="1"/>
    <n v="1"/>
  </r>
  <r>
    <x v="3"/>
    <n v="0"/>
    <n v="1"/>
  </r>
  <r>
    <x v="3"/>
    <n v="0"/>
    <n v="1"/>
  </r>
  <r>
    <x v="3"/>
    <n v="0"/>
    <n v="0"/>
  </r>
  <r>
    <x v="3"/>
    <n v="1"/>
    <n v="0"/>
  </r>
  <r>
    <x v="3"/>
    <n v="0"/>
    <n v="1"/>
  </r>
  <r>
    <x v="4"/>
    <n v="0"/>
    <n v="0"/>
  </r>
  <r>
    <x v="4"/>
    <n v="0"/>
    <n v="1"/>
  </r>
  <r>
    <x v="4"/>
    <n v="0"/>
    <n v="1"/>
  </r>
  <r>
    <x v="4"/>
    <n v="0"/>
    <n v="0"/>
  </r>
  <r>
    <x v="4"/>
    <n v="0"/>
    <n v="1"/>
  </r>
  <r>
    <x v="4"/>
    <n v="0"/>
    <n v="0"/>
  </r>
  <r>
    <x v="4"/>
    <n v="1"/>
    <n v="1"/>
  </r>
  <r>
    <x v="4"/>
    <n v="1"/>
    <n v="1"/>
  </r>
  <r>
    <x v="4"/>
    <n v="1"/>
    <n v="1"/>
  </r>
  <r>
    <x v="4"/>
    <n v="1"/>
    <n v="0"/>
  </r>
  <r>
    <x v="4"/>
    <n v="1"/>
    <n v="0"/>
  </r>
  <r>
    <x v="4"/>
    <n v="0"/>
    <n v="0"/>
  </r>
  <r>
    <x v="4"/>
    <n v="1"/>
    <n v="0"/>
  </r>
  <r>
    <x v="4"/>
    <n v="0"/>
    <n v="0"/>
  </r>
  <r>
    <x v="4"/>
    <n v="0"/>
    <n v="0"/>
  </r>
  <r>
    <x v="5"/>
    <n v="1"/>
    <n v="1"/>
  </r>
  <r>
    <x v="5"/>
    <n v="1"/>
    <n v="1"/>
  </r>
  <r>
    <x v="5"/>
    <n v="0"/>
    <n v="1"/>
  </r>
  <r>
    <x v="5"/>
    <n v="1"/>
    <n v="0"/>
  </r>
  <r>
    <x v="5"/>
    <n v="1"/>
    <n v="1"/>
  </r>
  <r>
    <x v="5"/>
    <s v="cancel"/>
    <s v=""/>
  </r>
  <r>
    <x v="5"/>
    <n v="1"/>
    <n v="1"/>
  </r>
  <r>
    <x v="5"/>
    <s v="cancel"/>
    <s v=""/>
  </r>
  <r>
    <x v="5"/>
    <s v="cancel"/>
    <s v=""/>
  </r>
  <r>
    <x v="5"/>
    <s v="cancel"/>
    <s v=""/>
  </r>
  <r>
    <x v="5"/>
    <n v="1"/>
    <n v="1"/>
  </r>
  <r>
    <x v="5"/>
    <n v="1"/>
    <n v="1"/>
  </r>
  <r>
    <x v="5"/>
    <n v="0"/>
    <n v="0"/>
  </r>
  <r>
    <x v="5"/>
    <n v="1"/>
    <n v="0"/>
  </r>
  <r>
    <x v="5"/>
    <n v="0"/>
    <n v="0"/>
  </r>
  <r>
    <x v="5"/>
    <n v="0"/>
    <n v="1"/>
  </r>
  <r>
    <x v="5"/>
    <n v="1"/>
    <n v="0"/>
  </r>
  <r>
    <x v="5"/>
    <n v="1"/>
    <n v="0"/>
  </r>
  <r>
    <x v="5"/>
    <n v="1"/>
    <n v="1"/>
  </r>
  <r>
    <x v="5"/>
    <n v="0"/>
    <n v="1"/>
  </r>
  <r>
    <x v="5"/>
    <n v="1"/>
    <n v="0"/>
  </r>
  <r>
    <x v="5"/>
    <n v="1"/>
    <n v="0"/>
  </r>
  <r>
    <x v="5"/>
    <n v="1"/>
    <n v="1"/>
  </r>
  <r>
    <x v="5"/>
    <n v="1"/>
    <n v="1"/>
  </r>
  <r>
    <x v="5"/>
    <n v="1"/>
    <n v="0"/>
  </r>
  <r>
    <x v="5"/>
    <n v="1"/>
    <n v="0"/>
  </r>
  <r>
    <x v="5"/>
    <n v="0"/>
    <n v="1"/>
  </r>
  <r>
    <x v="5"/>
    <n v="1"/>
    <n v="1"/>
  </r>
  <r>
    <x v="5"/>
    <n v="1"/>
    <n v="1"/>
  </r>
  <r>
    <x v="5"/>
    <n v="0"/>
    <n v="0"/>
  </r>
  <r>
    <x v="5"/>
    <n v="0"/>
    <n v="0"/>
  </r>
  <r>
    <x v="5"/>
    <n v="0"/>
    <n v="0"/>
  </r>
  <r>
    <x v="5"/>
    <s v="cancel"/>
    <s v=""/>
  </r>
  <r>
    <x v="5"/>
    <n v="0"/>
    <n v="0"/>
  </r>
  <r>
    <x v="5"/>
    <s v="cancel"/>
    <s v=""/>
  </r>
  <r>
    <x v="6"/>
    <n v="1"/>
    <n v="0"/>
  </r>
  <r>
    <x v="6"/>
    <n v="0"/>
    <n v="1"/>
  </r>
  <r>
    <x v="6"/>
    <n v="0"/>
    <n v="1"/>
  </r>
  <r>
    <x v="6"/>
    <n v="0"/>
    <n v="0"/>
  </r>
  <r>
    <x v="6"/>
    <n v="1"/>
    <n v="0"/>
  </r>
  <r>
    <x v="5"/>
    <n v="0"/>
    <n v="0"/>
  </r>
  <r>
    <x v="5"/>
    <n v="0"/>
    <n v="0"/>
  </r>
  <r>
    <x v="5"/>
    <n v="0"/>
    <n v="1"/>
  </r>
  <r>
    <x v="5"/>
    <n v="1"/>
    <n v="1"/>
  </r>
  <r>
    <x v="5"/>
    <n v="0"/>
    <n v="1"/>
  </r>
  <r>
    <x v="5"/>
    <n v="1"/>
    <n v="1"/>
  </r>
  <r>
    <x v="5"/>
    <n v="0"/>
    <n v="0"/>
  </r>
  <r>
    <x v="5"/>
    <n v="1"/>
    <n v="1"/>
  </r>
  <r>
    <x v="5"/>
    <n v="0"/>
    <n v="0"/>
  </r>
  <r>
    <x v="5"/>
    <n v="0"/>
    <n v="0"/>
  </r>
  <r>
    <x v="5"/>
    <n v="0"/>
    <n v="0"/>
  </r>
  <r>
    <x v="5"/>
    <n v="1"/>
    <n v="0"/>
  </r>
  <r>
    <x v="5"/>
    <n v="0"/>
    <n v="0"/>
  </r>
  <r>
    <x v="5"/>
    <n v="1"/>
    <n v="1"/>
  </r>
  <r>
    <x v="5"/>
    <n v="1"/>
    <n v="1"/>
  </r>
  <r>
    <x v="5"/>
    <n v="1"/>
    <n v="1"/>
  </r>
  <r>
    <x v="5"/>
    <n v="0"/>
    <n v="1"/>
  </r>
  <r>
    <x v="5"/>
    <n v="1"/>
    <n v="1"/>
  </r>
  <r>
    <x v="5"/>
    <n v="1"/>
    <n v="0"/>
  </r>
  <r>
    <x v="5"/>
    <n v="1"/>
    <n v="0"/>
  </r>
  <r>
    <x v="7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피벗 테이블1" cacheId="6" dataOnRows="0" dataCaption="값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N5:P15" firstHeaderRow="1" firstDataRow="2" firstDataCol="1"/>
  <pivotFields count="3">
    <pivotField axis="axisRow" showDropDowns="1" compact="1" outline="1" subtotalTop="1" dragToRow="1" dragToCol="1" dragToPage="1" dragToData="1" dragOff="1" showAll="0" topAutoShow="1" itemPageCount="10" sortType="ascending" defaultSubtotal="1">
      <items count="9">
        <item t="data" sd="1" x="3"/>
        <item t="data" sd="1" x="4"/>
        <item t="data" sd="1" x="6"/>
        <item t="data" sd="1" x="5"/>
        <item t="data" sd="1" x="0"/>
        <item t="data" sd="1" x="2"/>
        <item t="data" sd="1" x="1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ccuracy" fld="2" subtotal="average" showDataAs="normal" baseField="0" baseItem="3"/>
    <dataField name="경기 수" fld="2" subtotal="countNums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1"/>
  <sheetViews>
    <sheetView tabSelected="1" topLeftCell="B1" workbookViewId="0">
      <pane ySplit="1" topLeftCell="A2" activePane="bottomLeft" state="frozen"/>
      <selection pane="bottomLeft" activeCell="N3" sqref="N3"/>
    </sheetView>
  </sheetViews>
  <sheetFormatPr baseColWidth="8" defaultRowHeight="16.9"/>
  <cols>
    <col width="11.9375" customWidth="1" style="5" min="2" max="2"/>
    <col width="11.0625" bestFit="1" customWidth="1" style="5" min="14" max="14"/>
    <col width="13" bestFit="1" customWidth="1" style="5" min="15" max="15"/>
    <col width="7.1875" bestFit="1" customWidth="1" style="5" min="16" max="16"/>
  </cols>
  <sheetData>
    <row r="1">
      <c r="A1" s="1" t="inlineStr">
        <is>
          <t>game_id</t>
        </is>
      </c>
      <c r="B1" s="1" t="inlineStr">
        <is>
          <t>game_date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home_team_code</t>
        </is>
      </c>
      <c r="F1" s="1" t="inlineStr">
        <is>
          <t>away_team_code</t>
        </is>
      </c>
      <c r="G1" s="1" t="inlineStr">
        <is>
          <t>home_win_percent</t>
        </is>
      </c>
      <c r="H1" s="1" t="inlineStr">
        <is>
          <t>home_win_proba</t>
        </is>
      </c>
      <c r="I1" s="1" t="inlineStr">
        <is>
          <t>model_name</t>
        </is>
      </c>
      <c r="J1" s="1" t="inlineStr">
        <is>
          <t>result</t>
        </is>
      </c>
      <c r="K1" s="1" t="inlineStr">
        <is>
          <t>correct</t>
        </is>
      </c>
    </row>
    <row r="2">
      <c r="A2" t="n">
        <v>20260046</v>
      </c>
      <c r="B2" t="inlineStr">
        <is>
          <t>2026-04-08</t>
        </is>
      </c>
      <c r="C2" t="inlineStr">
        <is>
          <t>두산</t>
        </is>
      </c>
      <c r="D2" t="inlineStr">
        <is>
          <t>키움</t>
        </is>
      </c>
      <c r="E2" t="n">
        <v>6002</v>
      </c>
      <c r="F2" t="n">
        <v>10001</v>
      </c>
      <c r="G2" t="n">
        <v>88.72</v>
      </c>
      <c r="H2" t="n">
        <v>0.8872</v>
      </c>
      <c r="I2" t="inlineStr">
        <is>
          <t>full</t>
        </is>
      </c>
      <c r="J2" t="n">
        <v>1</v>
      </c>
      <c r="K2">
        <f>IF(AND(J2&lt;&gt;"", OR(J2=0, J2=1)), IF(ROUND(H2,0)=J2, 1, 0), "")</f>
        <v/>
      </c>
    </row>
    <row r="3">
      <c r="A3" t="n">
        <v>20260047</v>
      </c>
      <c r="B3" t="inlineStr">
        <is>
          <t>2026-04-08</t>
        </is>
      </c>
      <c r="C3" t="inlineStr">
        <is>
          <t>SSG</t>
        </is>
      </c>
      <c r="D3" t="inlineStr">
        <is>
          <t>한화</t>
        </is>
      </c>
      <c r="E3" t="n">
        <v>9002</v>
      </c>
      <c r="F3" t="n">
        <v>7002</v>
      </c>
      <c r="G3" t="n">
        <v>90.58</v>
      </c>
      <c r="H3" t="n">
        <v>0.9058</v>
      </c>
      <c r="I3" t="inlineStr">
        <is>
          <t>full</t>
        </is>
      </c>
      <c r="J3" t="n">
        <v>0</v>
      </c>
      <c r="K3">
        <f>IF(AND(J3&lt;&gt;"", OR(J3=0, J3=1)), IF(ROUND(H3,0)=J3, 1, 0), "")</f>
        <v/>
      </c>
    </row>
    <row r="4">
      <c r="A4" t="n">
        <v>20260048</v>
      </c>
      <c r="B4" t="inlineStr">
        <is>
          <t>2026-04-08</t>
        </is>
      </c>
      <c r="C4" t="inlineStr">
        <is>
          <t>KIA</t>
        </is>
      </c>
      <c r="D4" t="inlineStr">
        <is>
          <t>삼성</t>
        </is>
      </c>
      <c r="E4" t="n">
        <v>2002</v>
      </c>
      <c r="F4" t="n">
        <v>1001</v>
      </c>
      <c r="G4" t="n">
        <v>34.54</v>
      </c>
      <c r="H4" t="n">
        <v>0.3454</v>
      </c>
      <c r="I4" t="inlineStr">
        <is>
          <t>full</t>
        </is>
      </c>
      <c r="J4" t="n">
        <v>1</v>
      </c>
      <c r="K4">
        <f>IF(AND(J4&lt;&gt;"", OR(J4=0, J4=1)), IF(ROUND(H4,0)=J4, 1, 0), "")</f>
        <v/>
      </c>
    </row>
    <row r="5">
      <c r="A5" t="n">
        <v>20260049</v>
      </c>
      <c r="B5" t="inlineStr">
        <is>
          <t>2026-04-08</t>
        </is>
      </c>
      <c r="C5" t="inlineStr">
        <is>
          <t>롯데</t>
        </is>
      </c>
      <c r="D5" t="inlineStr">
        <is>
          <t>KT</t>
        </is>
      </c>
      <c r="E5" t="n">
        <v>3001</v>
      </c>
      <c r="F5" t="n">
        <v>12001</v>
      </c>
      <c r="G5" t="n">
        <v>8.49</v>
      </c>
      <c r="H5" t="n">
        <v>0.0849</v>
      </c>
      <c r="I5" t="inlineStr">
        <is>
          <t>full</t>
        </is>
      </c>
      <c r="J5" t="n">
        <v>1</v>
      </c>
      <c r="K5">
        <f>IF(AND(J5&lt;&gt;"", OR(J5=0, J5=1)), IF(ROUND(H5,0)=J5, 1, 0), "")</f>
        <v/>
      </c>
      <c r="M5" t="inlineStr">
        <is>
          <t>avg</t>
        </is>
      </c>
      <c r="O5" s="2" t="inlineStr">
        <is>
          <t>값</t>
        </is>
      </c>
    </row>
    <row r="6">
      <c r="A6" t="n">
        <v>20260050</v>
      </c>
      <c r="B6" t="inlineStr">
        <is>
          <t>2026-04-08</t>
        </is>
      </c>
      <c r="C6" t="inlineStr">
        <is>
          <t>NC</t>
        </is>
      </c>
      <c r="D6" t="inlineStr">
        <is>
          <t>LG</t>
        </is>
      </c>
      <c r="E6" t="n">
        <v>11001</v>
      </c>
      <c r="F6" t="n">
        <v>5002</v>
      </c>
      <c r="G6" t="n">
        <v>12.38</v>
      </c>
      <c r="H6" t="n">
        <v>0.1238</v>
      </c>
      <c r="I6" t="inlineStr">
        <is>
          <t>full</t>
        </is>
      </c>
      <c r="J6" t="n">
        <v>0</v>
      </c>
      <c r="K6">
        <f>IF(AND(J6&lt;&gt;"", OR(J6=0, J6=1)), IF(ROUND(H6,0)=J6, 1, 0), "")</f>
        <v/>
      </c>
      <c r="M6">
        <f>AVERAGE(K:K)</f>
        <v/>
      </c>
      <c r="N6" s="2" t="inlineStr">
        <is>
          <t>행 레이블</t>
        </is>
      </c>
      <c r="O6" t="inlineStr">
        <is>
          <t>accuracy</t>
        </is>
      </c>
      <c r="P6" t="inlineStr">
        <is>
          <t>경기 수</t>
        </is>
      </c>
    </row>
    <row r="7">
      <c r="A7" t="n">
        <v>20260051</v>
      </c>
      <c r="B7" t="inlineStr">
        <is>
          <t>2026-04-09</t>
        </is>
      </c>
      <c r="C7" t="inlineStr">
        <is>
          <t>두산</t>
        </is>
      </c>
      <c r="D7" t="inlineStr">
        <is>
          <t>키움</t>
        </is>
      </c>
      <c r="E7" t="n">
        <v>6002</v>
      </c>
      <c r="F7" t="n">
        <v>10001</v>
      </c>
      <c r="G7" t="n">
        <v>35.08</v>
      </c>
      <c r="H7" t="n">
        <v>0.3508</v>
      </c>
      <c r="I7" t="inlineStr">
        <is>
          <t>sp</t>
        </is>
      </c>
      <c r="J7" t="inlineStr">
        <is>
          <t>cancel</t>
        </is>
      </c>
      <c r="K7">
        <f>IF(AND(J7&lt;&gt;"", OR(J7=0, J7=1)), IF(ROUND(H7,0)=J7, 1, 0), "")</f>
        <v/>
      </c>
      <c r="N7" s="3" t="inlineStr">
        <is>
          <t>core_full</t>
        </is>
      </c>
      <c r="O7" t="n">
        <v>0.5471698113207547</v>
      </c>
      <c r="P7" t="n">
        <v>53</v>
      </c>
    </row>
    <row r="8">
      <c r="A8" t="n">
        <v>20260052</v>
      </c>
      <c r="B8" t="inlineStr">
        <is>
          <t>2026-04-09</t>
        </is>
      </c>
      <c r="C8" t="inlineStr">
        <is>
          <t>SSG</t>
        </is>
      </c>
      <c r="D8" t="inlineStr">
        <is>
          <t>한화</t>
        </is>
      </c>
      <c r="E8" t="n">
        <v>9002</v>
      </c>
      <c r="F8" t="n">
        <v>7002</v>
      </c>
      <c r="G8" t="n">
        <v>52.72</v>
      </c>
      <c r="H8" t="n">
        <v>0.5272</v>
      </c>
      <c r="I8" t="inlineStr">
        <is>
          <t>sp</t>
        </is>
      </c>
      <c r="J8" t="inlineStr">
        <is>
          <t>cancel</t>
        </is>
      </c>
      <c r="K8">
        <f>IF(AND(J8&lt;&gt;"", OR(J8=0, J8=1)), IF(ROUND(H8,0)=J8, 1, 0), "")</f>
        <v/>
      </c>
      <c r="N8" s="3" t="inlineStr">
        <is>
          <t>core_sp</t>
        </is>
      </c>
      <c r="O8" t="n">
        <v>0.4716981132075472</v>
      </c>
      <c r="P8" t="n">
        <v>53</v>
      </c>
    </row>
    <row r="9">
      <c r="A9" t="n">
        <v>20260053</v>
      </c>
      <c r="B9" t="inlineStr">
        <is>
          <t>2026-04-09</t>
        </is>
      </c>
      <c r="C9" t="inlineStr">
        <is>
          <t>KIA</t>
        </is>
      </c>
      <c r="D9" t="inlineStr">
        <is>
          <t>삼성</t>
        </is>
      </c>
      <c r="E9" t="n">
        <v>2002</v>
      </c>
      <c r="F9" t="n">
        <v>1001</v>
      </c>
      <c r="G9" t="n">
        <v>62.24</v>
      </c>
      <c r="H9" t="n">
        <v>0.6224</v>
      </c>
      <c r="I9" t="inlineStr">
        <is>
          <t>sp</t>
        </is>
      </c>
      <c r="J9" t="inlineStr">
        <is>
          <t>cancel</t>
        </is>
      </c>
      <c r="K9">
        <f>IF(AND(J9&lt;&gt;"", OR(J9=0, J9=1)), IF(ROUND(H9,0)=J9, 1, 0), "")</f>
        <v/>
      </c>
      <c r="N9" s="3" t="inlineStr">
        <is>
          <t>elo_full</t>
        </is>
      </c>
      <c r="O9" t="n">
        <v>0.4</v>
      </c>
      <c r="P9" t="n">
        <v>5</v>
      </c>
    </row>
    <row r="10">
      <c r="A10" t="n">
        <v>20260054</v>
      </c>
      <c r="B10" t="inlineStr">
        <is>
          <t>2026-04-09</t>
        </is>
      </c>
      <c r="C10" t="inlineStr">
        <is>
          <t>롯데</t>
        </is>
      </c>
      <c r="D10" t="inlineStr">
        <is>
          <t>KT</t>
        </is>
      </c>
      <c r="E10" t="n">
        <v>3001</v>
      </c>
      <c r="F10" t="n">
        <v>12001</v>
      </c>
      <c r="G10" t="n">
        <v>38.11</v>
      </c>
      <c r="H10" t="n">
        <v>0.3811</v>
      </c>
      <c r="I10" t="inlineStr">
        <is>
          <t>sp</t>
        </is>
      </c>
      <c r="J10" t="inlineStr">
        <is>
          <t>cancel</t>
        </is>
      </c>
      <c r="K10">
        <f>IF(AND(J10&lt;&gt;"", OR(J10=0, J10=1)), IF(ROUND(H10,0)=J10, 1, 0), "")</f>
        <v/>
      </c>
      <c r="N10" s="3" t="inlineStr">
        <is>
          <t>elo_sp</t>
        </is>
      </c>
      <c r="O10" t="n">
        <v>0.5102040816326531</v>
      </c>
      <c r="P10" t="n">
        <v>49</v>
      </c>
    </row>
    <row r="11">
      <c r="A11" t="n">
        <v>20260055</v>
      </c>
      <c r="B11" t="inlineStr">
        <is>
          <t>2026-04-09</t>
        </is>
      </c>
      <c r="C11" t="inlineStr">
        <is>
          <t>NC</t>
        </is>
      </c>
      <c r="D11" t="inlineStr">
        <is>
          <t>LG</t>
        </is>
      </c>
      <c r="E11" t="n">
        <v>11001</v>
      </c>
      <c r="F11" t="n">
        <v>5002</v>
      </c>
      <c r="G11" t="n">
        <v>85.29000000000001</v>
      </c>
      <c r="H11" t="n">
        <v>0.8529</v>
      </c>
      <c r="I11" t="inlineStr">
        <is>
          <t>sp</t>
        </is>
      </c>
      <c r="J11" t="inlineStr">
        <is>
          <t>cancel</t>
        </is>
      </c>
      <c r="K11">
        <f>IF(AND(J11&lt;&gt;"", OR(J11=0, J11=1)), IF(ROUND(H11,0)=J11, 1, 0), "")</f>
        <v/>
      </c>
      <c r="N11" s="3" t="inlineStr">
        <is>
          <t>full</t>
        </is>
      </c>
      <c r="O11" t="n">
        <v>0.4</v>
      </c>
      <c r="P11" t="n">
        <v>15</v>
      </c>
    </row>
    <row r="12">
      <c r="A12" t="n">
        <v>20260056</v>
      </c>
      <c r="B12" t="inlineStr">
        <is>
          <t>2026-04-10</t>
        </is>
      </c>
      <c r="C12" t="inlineStr">
        <is>
          <t>LG</t>
        </is>
      </c>
      <c r="D12" t="inlineStr">
        <is>
          <t>SSG</t>
        </is>
      </c>
      <c r="E12" t="n">
        <v>5002</v>
      </c>
      <c r="F12" t="n">
        <v>9002</v>
      </c>
      <c r="G12" t="n">
        <v>29.35</v>
      </c>
      <c r="H12" t="n">
        <v>0.2935</v>
      </c>
      <c r="I12" t="inlineStr">
        <is>
          <t>sp</t>
        </is>
      </c>
      <c r="J12" t="n">
        <v>1</v>
      </c>
      <c r="K12">
        <f>IF(AND(J12&lt;&gt;"", OR(J12=0, J12=1)), IF(ROUND(H12,0)=J12, 1, 0), "")</f>
        <v/>
      </c>
      <c r="N12" s="3" t="inlineStr">
        <is>
          <t>non</t>
        </is>
      </c>
      <c r="O12" t="n">
        <v>0.5294117647058824</v>
      </c>
      <c r="P12" t="n">
        <v>17</v>
      </c>
    </row>
    <row r="13">
      <c r="A13" t="n">
        <v>20260057</v>
      </c>
      <c r="B13" t="inlineStr">
        <is>
          <t>2026-04-10</t>
        </is>
      </c>
      <c r="C13" t="inlineStr">
        <is>
          <t>키움</t>
        </is>
      </c>
      <c r="D13" t="inlineStr">
        <is>
          <t>롯데</t>
        </is>
      </c>
      <c r="E13" t="n">
        <v>10001</v>
      </c>
      <c r="F13" t="n">
        <v>3001</v>
      </c>
      <c r="G13" t="n">
        <v>73.65000000000001</v>
      </c>
      <c r="H13" t="n">
        <v>0.7365</v>
      </c>
      <c r="I13" t="inlineStr">
        <is>
          <t>sp</t>
        </is>
      </c>
      <c r="J13" t="n">
        <v>0</v>
      </c>
      <c r="K13">
        <f>IF(AND(J13&lt;&gt;"", OR(J13=0, J13=1)), IF(ROUND(H13,0)=J13, 1, 0), "")</f>
        <v/>
      </c>
      <c r="N13" s="3" t="inlineStr">
        <is>
          <t>sp</t>
        </is>
      </c>
      <c r="O13" t="n">
        <v>0.36</v>
      </c>
      <c r="P13" t="n">
        <v>25</v>
      </c>
    </row>
    <row r="14">
      <c r="A14" t="n">
        <v>20260058</v>
      </c>
      <c r="B14" t="inlineStr">
        <is>
          <t>2026-04-10</t>
        </is>
      </c>
      <c r="C14" t="inlineStr">
        <is>
          <t>KT</t>
        </is>
      </c>
      <c r="D14" t="inlineStr">
        <is>
          <t>두산</t>
        </is>
      </c>
      <c r="E14" t="n">
        <v>12001</v>
      </c>
      <c r="F14" t="n">
        <v>6002</v>
      </c>
      <c r="G14" t="n">
        <v>57.85</v>
      </c>
      <c r="H14" t="n">
        <v>0.5785</v>
      </c>
      <c r="I14" t="inlineStr">
        <is>
          <t>sp</t>
        </is>
      </c>
      <c r="J14" t="n">
        <v>0</v>
      </c>
      <c r="K14">
        <f>IF(AND(J14&lt;&gt;"", OR(J14=0, J14=1)), IF(ROUND(H14,0)=J14, 1, 0), "")</f>
        <v/>
      </c>
      <c r="N14" s="3" t="inlineStr">
        <is>
          <t>(비어 있음)</t>
        </is>
      </c>
    </row>
    <row r="15">
      <c r="A15" t="n">
        <v>20260059</v>
      </c>
      <c r="B15" t="inlineStr">
        <is>
          <t>2026-04-10</t>
        </is>
      </c>
      <c r="C15" t="inlineStr">
        <is>
          <t>한화</t>
        </is>
      </c>
      <c r="D15" t="inlineStr">
        <is>
          <t>KIA</t>
        </is>
      </c>
      <c r="E15" t="n">
        <v>7002</v>
      </c>
      <c r="F15" t="n">
        <v>2002</v>
      </c>
      <c r="G15" t="n">
        <v>33.09</v>
      </c>
      <c r="H15" t="n">
        <v>0.3309</v>
      </c>
      <c r="I15" t="inlineStr">
        <is>
          <t>sp</t>
        </is>
      </c>
      <c r="J15" t="n">
        <v>0</v>
      </c>
      <c r="K15">
        <f>IF(AND(J15&lt;&gt;"", OR(J15=0, J15=1)), IF(ROUND(H15,0)=J15, 1, 0), "")</f>
        <v/>
      </c>
      <c r="N15" s="3" t="inlineStr">
        <is>
          <t>총합계</t>
        </is>
      </c>
      <c r="O15" t="n">
        <v>0.4838709677419355</v>
      </c>
      <c r="P15" t="n">
        <v>217</v>
      </c>
    </row>
    <row r="16">
      <c r="A16" t="n">
        <v>20260060</v>
      </c>
      <c r="B16" t="inlineStr">
        <is>
          <t>2026-04-10</t>
        </is>
      </c>
      <c r="C16" t="inlineStr">
        <is>
          <t>삼성</t>
        </is>
      </c>
      <c r="D16" t="inlineStr">
        <is>
          <t>NC</t>
        </is>
      </c>
      <c r="E16" t="n">
        <v>1001</v>
      </c>
      <c r="F16" t="n">
        <v>11001</v>
      </c>
      <c r="G16" t="n">
        <v>30.46</v>
      </c>
      <c r="H16" t="n">
        <v>0.3046</v>
      </c>
      <c r="I16" t="inlineStr">
        <is>
          <t>sp</t>
        </is>
      </c>
      <c r="J16" t="n">
        <v>1</v>
      </c>
      <c r="K16">
        <f>IF(AND(J16&lt;&gt;"", OR(J16=0, J16=1)), IF(ROUND(H16,0)=J16, 1, 0), "")</f>
        <v/>
      </c>
    </row>
    <row r="17">
      <c r="A17" t="n">
        <v>20260061</v>
      </c>
      <c r="B17" t="inlineStr">
        <is>
          <t>2026-04-11</t>
        </is>
      </c>
      <c r="C17" t="inlineStr">
        <is>
          <t>LG</t>
        </is>
      </c>
      <c r="D17" t="inlineStr">
        <is>
          <t>SSG</t>
        </is>
      </c>
      <c r="E17" t="n">
        <v>5002</v>
      </c>
      <c r="F17" t="n">
        <v>9002</v>
      </c>
      <c r="G17" t="n">
        <v>64.56</v>
      </c>
      <c r="H17" t="n">
        <v>0.6456</v>
      </c>
      <c r="I17" t="inlineStr">
        <is>
          <t>sp</t>
        </is>
      </c>
      <c r="J17" t="n">
        <v>1</v>
      </c>
      <c r="K17">
        <f>IF(AND(J17&lt;&gt;"", OR(J17=0, J17=1)), IF(ROUND(H17,0)=J17, 1, 0), "")</f>
        <v/>
      </c>
    </row>
    <row r="18">
      <c r="A18" t="n">
        <v>20260062</v>
      </c>
      <c r="B18" t="inlineStr">
        <is>
          <t>2026-04-11</t>
        </is>
      </c>
      <c r="C18" t="inlineStr">
        <is>
          <t>키움</t>
        </is>
      </c>
      <c r="D18" t="inlineStr">
        <is>
          <t>롯데</t>
        </is>
      </c>
      <c r="E18" t="n">
        <v>10001</v>
      </c>
      <c r="F18" t="n">
        <v>3001</v>
      </c>
      <c r="G18" t="n">
        <v>51.07</v>
      </c>
      <c r="H18" t="n">
        <v>0.5107</v>
      </c>
      <c r="I18" t="inlineStr">
        <is>
          <t>sp</t>
        </is>
      </c>
      <c r="J18" t="n">
        <v>0</v>
      </c>
      <c r="K18">
        <f>IF(AND(J18&lt;&gt;"", OR(J18=0, J18=1)), IF(ROUND(H18,0)=J18, 1, 0), "")</f>
        <v/>
      </c>
    </row>
    <row r="19">
      <c r="A19" t="n">
        <v>20260063</v>
      </c>
      <c r="B19" t="inlineStr">
        <is>
          <t>2026-04-11</t>
        </is>
      </c>
      <c r="C19" t="inlineStr">
        <is>
          <t>KT</t>
        </is>
      </c>
      <c r="D19" t="inlineStr">
        <is>
          <t>두산</t>
        </is>
      </c>
      <c r="E19" t="n">
        <v>12001</v>
      </c>
      <c r="F19" t="n">
        <v>6002</v>
      </c>
      <c r="G19" t="n">
        <v>24.04</v>
      </c>
      <c r="H19" t="n">
        <v>0.2404</v>
      </c>
      <c r="I19" t="inlineStr">
        <is>
          <t>sp</t>
        </is>
      </c>
      <c r="J19" t="n">
        <v>1</v>
      </c>
      <c r="K19">
        <f>IF(AND(J19&lt;&gt;"", OR(J19=0, J19=1)), IF(ROUND(H19,0)=J19, 1, 0), "")</f>
        <v/>
      </c>
    </row>
    <row r="20">
      <c r="A20" t="n">
        <v>20260064</v>
      </c>
      <c r="B20" t="inlineStr">
        <is>
          <t>2026-04-11</t>
        </is>
      </c>
      <c r="C20" t="inlineStr">
        <is>
          <t>한화</t>
        </is>
      </c>
      <c r="D20" t="inlineStr">
        <is>
          <t>KIA</t>
        </is>
      </c>
      <c r="E20" t="n">
        <v>7002</v>
      </c>
      <c r="F20" t="n">
        <v>2002</v>
      </c>
      <c r="G20" t="n">
        <v>89.63</v>
      </c>
      <c r="H20" t="n">
        <v>0.8963</v>
      </c>
      <c r="I20" t="inlineStr">
        <is>
          <t>sp</t>
        </is>
      </c>
      <c r="J20" t="n">
        <v>0</v>
      </c>
      <c r="K20">
        <f>IF(AND(J20&lt;&gt;"", OR(J20=0, J20=1)), IF(ROUND(H20,0)=J20, 1, 0), "")</f>
        <v/>
      </c>
    </row>
    <row r="21">
      <c r="A21" t="n">
        <v>20260065</v>
      </c>
      <c r="B21" t="inlineStr">
        <is>
          <t>2026-04-11</t>
        </is>
      </c>
      <c r="C21" t="inlineStr">
        <is>
          <t>삼성</t>
        </is>
      </c>
      <c r="D21" t="inlineStr">
        <is>
          <t>NC</t>
        </is>
      </c>
      <c r="E21" t="n">
        <v>1001</v>
      </c>
      <c r="F21" t="n">
        <v>11001</v>
      </c>
      <c r="G21" t="n">
        <v>37.89</v>
      </c>
      <c r="H21" t="n">
        <v>0.3789</v>
      </c>
      <c r="I21" t="inlineStr">
        <is>
          <t>sp</t>
        </is>
      </c>
      <c r="J21" t="n">
        <v>1</v>
      </c>
      <c r="K21">
        <f>IF(AND(J21&lt;&gt;"", OR(J21=0, J21=1)), IF(ROUND(H21,0)=J21, 1, 0), "")</f>
        <v/>
      </c>
    </row>
    <row r="22">
      <c r="A22" t="n">
        <v>20260066</v>
      </c>
      <c r="B22" t="inlineStr">
        <is>
          <t>2026-04-12</t>
        </is>
      </c>
      <c r="C22" t="inlineStr">
        <is>
          <t>LG</t>
        </is>
      </c>
      <c r="D22" t="inlineStr">
        <is>
          <t>SSG</t>
        </is>
      </c>
      <c r="E22" t="n">
        <v>5002</v>
      </c>
      <c r="F22" t="n">
        <v>9002</v>
      </c>
      <c r="G22" t="n">
        <v>38.08</v>
      </c>
      <c r="H22" t="n">
        <v>0.3808</v>
      </c>
      <c r="I22" t="inlineStr">
        <is>
          <t>sp</t>
        </is>
      </c>
      <c r="J22" t="n">
        <v>1</v>
      </c>
      <c r="K22">
        <f>IF(AND(J22&lt;&gt;"", OR(J22=0, J22=1)), IF(ROUND(H22,0)=J22, 1, 0), "")</f>
        <v/>
      </c>
    </row>
    <row r="23">
      <c r="A23" t="n">
        <v>20260067</v>
      </c>
      <c r="B23" t="inlineStr">
        <is>
          <t>2026-04-12</t>
        </is>
      </c>
      <c r="C23" t="inlineStr">
        <is>
          <t>키움</t>
        </is>
      </c>
      <c r="D23" t="inlineStr">
        <is>
          <t>롯데</t>
        </is>
      </c>
      <c r="E23" t="n">
        <v>10001</v>
      </c>
      <c r="F23" t="n">
        <v>3001</v>
      </c>
      <c r="G23" t="n">
        <v>36.65</v>
      </c>
      <c r="H23" t="n">
        <v>0.3665</v>
      </c>
      <c r="I23" t="inlineStr">
        <is>
          <t>sp</t>
        </is>
      </c>
      <c r="J23" t="n">
        <v>1</v>
      </c>
      <c r="K23">
        <f>IF(AND(J23&lt;&gt;"", OR(J23=0, J23=1)), IF(ROUND(H23,0)=J23, 1, 0), "")</f>
        <v/>
      </c>
    </row>
    <row r="24">
      <c r="A24" t="n">
        <v>20260068</v>
      </c>
      <c r="B24" t="inlineStr">
        <is>
          <t>2026-04-12</t>
        </is>
      </c>
      <c r="C24" t="inlineStr">
        <is>
          <t>KT</t>
        </is>
      </c>
      <c r="D24" t="inlineStr">
        <is>
          <t>두산</t>
        </is>
      </c>
      <c r="E24" t="n">
        <v>12001</v>
      </c>
      <c r="F24" t="n">
        <v>6002</v>
      </c>
      <c r="G24" t="n">
        <v>73.31</v>
      </c>
      <c r="H24" t="n">
        <v>0.7331</v>
      </c>
      <c r="I24" t="inlineStr">
        <is>
          <t>sp</t>
        </is>
      </c>
      <c r="J24" t="n">
        <v>1</v>
      </c>
      <c r="K24">
        <f>IF(AND(J24&lt;&gt;"", OR(J24=0, J24=1)), IF(ROUND(H24,0)=J24, 1, 0), "")</f>
        <v/>
      </c>
    </row>
    <row r="25">
      <c r="A25" t="n">
        <v>20260069</v>
      </c>
      <c r="B25" t="inlineStr">
        <is>
          <t>2026-04-12</t>
        </is>
      </c>
      <c r="C25" t="inlineStr">
        <is>
          <t>한화</t>
        </is>
      </c>
      <c r="D25" t="inlineStr">
        <is>
          <t>KIA</t>
        </is>
      </c>
      <c r="E25" t="n">
        <v>7002</v>
      </c>
      <c r="F25" t="n">
        <v>2002</v>
      </c>
      <c r="G25" t="n">
        <v>33.01</v>
      </c>
      <c r="H25" t="n">
        <v>0.3301</v>
      </c>
      <c r="I25" t="inlineStr">
        <is>
          <t>sp</t>
        </is>
      </c>
      <c r="J25" t="n">
        <v>0</v>
      </c>
      <c r="K25">
        <f>IF(AND(J25&lt;&gt;"", OR(J25=0, J25=1)), IF(ROUND(H25,0)=J25, 1, 0), "")</f>
        <v/>
      </c>
    </row>
    <row r="26">
      <c r="A26" t="n">
        <v>20260070</v>
      </c>
      <c r="B26" t="inlineStr">
        <is>
          <t>2026-04-12</t>
        </is>
      </c>
      <c r="C26" t="inlineStr">
        <is>
          <t>삼성</t>
        </is>
      </c>
      <c r="D26" t="inlineStr">
        <is>
          <t>NC</t>
        </is>
      </c>
      <c r="E26" t="n">
        <v>1001</v>
      </c>
      <c r="F26" t="n">
        <v>11001</v>
      </c>
      <c r="G26" t="n">
        <v>60.31</v>
      </c>
      <c r="H26" t="n">
        <v>0.6031</v>
      </c>
      <c r="I26" t="inlineStr">
        <is>
          <t>sp</t>
        </is>
      </c>
      <c r="J26" t="n">
        <v>1</v>
      </c>
      <c r="K26">
        <f>IF(AND(J26&lt;&gt;"", OR(J26=0, J26=1)), IF(ROUND(H26,0)=J26, 1, 0), "")</f>
        <v/>
      </c>
    </row>
    <row r="27">
      <c r="A27" t="n">
        <v>20260071</v>
      </c>
      <c r="B27" t="inlineStr">
        <is>
          <t>2026-04-14</t>
        </is>
      </c>
      <c r="C27" t="inlineStr">
        <is>
          <t>LG</t>
        </is>
      </c>
      <c r="D27" t="inlineStr">
        <is>
          <t>롯데</t>
        </is>
      </c>
      <c r="E27" t="n">
        <v>5002</v>
      </c>
      <c r="F27" t="n">
        <v>3001</v>
      </c>
      <c r="G27" t="n">
        <v>57.69</v>
      </c>
      <c r="H27" t="n">
        <v>0.5769</v>
      </c>
      <c r="I27" t="inlineStr">
        <is>
          <t>non</t>
        </is>
      </c>
      <c r="J27" t="n">
        <v>1</v>
      </c>
      <c r="K27">
        <f>IF(AND(J27&lt;&gt;"", OR(J27=0, J27=1)), IF(ROUND(H27,0)=J27, 1, 0), "")</f>
        <v/>
      </c>
    </row>
    <row r="28">
      <c r="A28" t="n">
        <v>20260072</v>
      </c>
      <c r="B28" t="inlineStr">
        <is>
          <t>2026-04-14</t>
        </is>
      </c>
      <c r="C28" t="inlineStr">
        <is>
          <t>SSG</t>
        </is>
      </c>
      <c r="D28" t="inlineStr">
        <is>
          <t>두산</t>
        </is>
      </c>
      <c r="E28" t="n">
        <v>9002</v>
      </c>
      <c r="F28" t="n">
        <v>6002</v>
      </c>
      <c r="G28" t="n">
        <v>55.62</v>
      </c>
      <c r="H28" t="n">
        <v>0.5562</v>
      </c>
      <c r="I28" t="inlineStr">
        <is>
          <t>non</t>
        </is>
      </c>
      <c r="J28" t="n">
        <v>0</v>
      </c>
      <c r="K28">
        <f>IF(AND(J28&lt;&gt;"", OR(J28=0, J28=1)), IF(ROUND(H28,0)=J28, 1, 0), "")</f>
        <v/>
      </c>
    </row>
    <row r="29">
      <c r="A29" t="n">
        <v>20260073</v>
      </c>
      <c r="B29" t="inlineStr">
        <is>
          <t>2026-04-14</t>
        </is>
      </c>
      <c r="C29" t="inlineStr">
        <is>
          <t>한화</t>
        </is>
      </c>
      <c r="D29" t="inlineStr">
        <is>
          <t>삼성</t>
        </is>
      </c>
      <c r="E29" t="n">
        <v>7002</v>
      </c>
      <c r="F29" t="n">
        <v>1001</v>
      </c>
      <c r="G29" t="n">
        <v>49.8</v>
      </c>
      <c r="H29" t="n">
        <v>0.498</v>
      </c>
      <c r="I29" t="inlineStr">
        <is>
          <t>non</t>
        </is>
      </c>
      <c r="J29" t="n">
        <v>0</v>
      </c>
      <c r="K29">
        <f>IF(AND(J29&lt;&gt;"", OR(J29=0, J29=1)), IF(ROUND(H29,0)=J29, 1, 0), "")</f>
        <v/>
      </c>
    </row>
    <row r="30">
      <c r="A30" t="n">
        <v>20260074</v>
      </c>
      <c r="B30" t="inlineStr">
        <is>
          <t>2026-04-14</t>
        </is>
      </c>
      <c r="C30" t="inlineStr">
        <is>
          <t>KIA</t>
        </is>
      </c>
      <c r="D30" t="inlineStr">
        <is>
          <t>키움</t>
        </is>
      </c>
      <c r="E30" t="n">
        <v>2002</v>
      </c>
      <c r="F30" t="n">
        <v>10001</v>
      </c>
      <c r="G30" t="n">
        <v>49.73</v>
      </c>
      <c r="H30" t="n">
        <v>0.4973</v>
      </c>
      <c r="I30" t="inlineStr">
        <is>
          <t>non</t>
        </is>
      </c>
      <c r="J30" t="n">
        <v>1</v>
      </c>
      <c r="K30">
        <f>IF(AND(J30&lt;&gt;"", OR(J30=0, J30=1)), IF(ROUND(H30,0)=J30, 1, 0), "")</f>
        <v/>
      </c>
    </row>
    <row r="31">
      <c r="A31" t="n">
        <v>20260075</v>
      </c>
      <c r="B31" t="inlineStr">
        <is>
          <t>2026-04-14</t>
        </is>
      </c>
      <c r="C31" t="inlineStr">
        <is>
          <t>NC</t>
        </is>
      </c>
      <c r="D31" t="inlineStr">
        <is>
          <t>KT</t>
        </is>
      </c>
      <c r="E31" t="n">
        <v>11001</v>
      </c>
      <c r="F31" t="n">
        <v>12001</v>
      </c>
      <c r="G31" t="n">
        <v>50.79</v>
      </c>
      <c r="H31" t="n">
        <v>0.5079</v>
      </c>
      <c r="I31" t="inlineStr">
        <is>
          <t>non</t>
        </is>
      </c>
      <c r="J31" t="n">
        <v>1</v>
      </c>
      <c r="K31">
        <f>IF(AND(J31&lt;&gt;"", OR(J31=0, J31=1)), IF(ROUND(H31,0)=J31, 1, 0), "")</f>
        <v/>
      </c>
    </row>
    <row r="32">
      <c r="A32" t="n">
        <v>20260076</v>
      </c>
      <c r="B32" t="inlineStr">
        <is>
          <t>2026-04-15</t>
        </is>
      </c>
      <c r="C32" t="inlineStr">
        <is>
          <t>LG</t>
        </is>
      </c>
      <c r="D32" t="inlineStr">
        <is>
          <t>롯데</t>
        </is>
      </c>
      <c r="E32" t="n">
        <v>5002</v>
      </c>
      <c r="F32" t="n">
        <v>3001</v>
      </c>
      <c r="G32" t="n">
        <v>57.69</v>
      </c>
      <c r="H32" t="n">
        <v>0.5769</v>
      </c>
      <c r="I32" t="inlineStr">
        <is>
          <t>non</t>
        </is>
      </c>
      <c r="J32" t="n">
        <v>0</v>
      </c>
      <c r="K32">
        <f>IF(AND(J32&lt;&gt;"", OR(J32=0, J32=1)), IF(ROUND(H32,0)=J32, 1, 0), "")</f>
        <v/>
      </c>
    </row>
    <row r="33">
      <c r="A33" t="n">
        <v>20260077</v>
      </c>
      <c r="B33" t="inlineStr">
        <is>
          <t>2026-04-15</t>
        </is>
      </c>
      <c r="C33" t="inlineStr">
        <is>
          <t>SSG</t>
        </is>
      </c>
      <c r="D33" t="inlineStr">
        <is>
          <t>두산</t>
        </is>
      </c>
      <c r="E33" t="n">
        <v>9002</v>
      </c>
      <c r="F33" t="n">
        <v>6002</v>
      </c>
      <c r="G33" t="n">
        <v>55.62</v>
      </c>
      <c r="H33" t="n">
        <v>0.5562</v>
      </c>
      <c r="I33" t="inlineStr">
        <is>
          <t>non</t>
        </is>
      </c>
      <c r="J33" t="n">
        <v>1</v>
      </c>
      <c r="K33">
        <f>IF(AND(J33&lt;&gt;"", OR(J33=0, J33=1)), IF(ROUND(H33,0)=J33, 1, 0), "")</f>
        <v/>
      </c>
    </row>
    <row r="34">
      <c r="A34" t="n">
        <v>20260078</v>
      </c>
      <c r="B34" t="inlineStr">
        <is>
          <t>2026-04-15</t>
        </is>
      </c>
      <c r="C34" t="inlineStr">
        <is>
          <t>한화</t>
        </is>
      </c>
      <c r="D34" t="inlineStr">
        <is>
          <t>삼성</t>
        </is>
      </c>
      <c r="E34" t="n">
        <v>7002</v>
      </c>
      <c r="F34" t="n">
        <v>1001</v>
      </c>
      <c r="G34" t="n">
        <v>49.8</v>
      </c>
      <c r="H34" t="n">
        <v>0.498</v>
      </c>
      <c r="I34" t="inlineStr">
        <is>
          <t>non</t>
        </is>
      </c>
      <c r="J34" t="n">
        <v>0</v>
      </c>
      <c r="K34">
        <f>IF(AND(J34&lt;&gt;"", OR(J34=0, J34=1)), IF(ROUND(H34,0)=J34, 1, 0), "")</f>
        <v/>
      </c>
    </row>
    <row r="35">
      <c r="A35" t="n">
        <v>20260079</v>
      </c>
      <c r="B35" t="inlineStr">
        <is>
          <t>2026-04-15</t>
        </is>
      </c>
      <c r="C35" t="inlineStr">
        <is>
          <t>KIA</t>
        </is>
      </c>
      <c r="D35" t="inlineStr">
        <is>
          <t>키움</t>
        </is>
      </c>
      <c r="E35" t="n">
        <v>2002</v>
      </c>
      <c r="F35" t="n">
        <v>10001</v>
      </c>
      <c r="G35" t="n">
        <v>49.73</v>
      </c>
      <c r="H35" t="n">
        <v>0.4973</v>
      </c>
      <c r="I35" t="inlineStr">
        <is>
          <t>non</t>
        </is>
      </c>
      <c r="J35" t="n">
        <v>1</v>
      </c>
      <c r="K35">
        <f>IF(AND(J35&lt;&gt;"", OR(J35=0, J35=1)), IF(ROUND(H35,0)=J35, 1, 0), "")</f>
        <v/>
      </c>
    </row>
    <row r="36">
      <c r="A36" t="n">
        <v>20260080</v>
      </c>
      <c r="B36" t="inlineStr">
        <is>
          <t>2026-04-15</t>
        </is>
      </c>
      <c r="C36" t="inlineStr">
        <is>
          <t>NC</t>
        </is>
      </c>
      <c r="D36" t="inlineStr">
        <is>
          <t>KT</t>
        </is>
      </c>
      <c r="E36" t="n">
        <v>11001</v>
      </c>
      <c r="F36" t="n">
        <v>12001</v>
      </c>
      <c r="G36" t="n">
        <v>50.79</v>
      </c>
      <c r="H36" t="n">
        <v>0.5079</v>
      </c>
      <c r="I36" t="inlineStr">
        <is>
          <t>non</t>
        </is>
      </c>
      <c r="J36" t="n">
        <v>0</v>
      </c>
      <c r="K36">
        <f>IF(AND(J36&lt;&gt;"", OR(J36=0, J36=1)), IF(ROUND(H36,0)=J36, 1, 0), "")</f>
        <v/>
      </c>
    </row>
    <row r="37">
      <c r="A37" t="n">
        <v>20260081</v>
      </c>
      <c r="B37" t="inlineStr">
        <is>
          <t>2026-04-16</t>
        </is>
      </c>
      <c r="C37" t="inlineStr">
        <is>
          <t>LG</t>
        </is>
      </c>
      <c r="D37" t="inlineStr">
        <is>
          <t>롯데</t>
        </is>
      </c>
      <c r="E37" t="n">
        <v>5002</v>
      </c>
      <c r="F37" t="n">
        <v>3001</v>
      </c>
      <c r="G37" t="n">
        <v>57.69</v>
      </c>
      <c r="H37" t="n">
        <v>0.5769</v>
      </c>
      <c r="I37" t="inlineStr">
        <is>
          <t>non</t>
        </is>
      </c>
      <c r="J37" t="n">
        <v>1</v>
      </c>
      <c r="K37">
        <f>IF(AND(J37&lt;&gt;"", OR(J37=0, J37=1)), IF(ROUND(H37,0)=J37, 1, 0), "")</f>
        <v/>
      </c>
    </row>
    <row r="38">
      <c r="A38" t="n">
        <v>20260082</v>
      </c>
      <c r="B38" t="inlineStr">
        <is>
          <t>2026-04-16</t>
        </is>
      </c>
      <c r="C38" t="inlineStr">
        <is>
          <t>SSG</t>
        </is>
      </c>
      <c r="D38" t="inlineStr">
        <is>
          <t>두산</t>
        </is>
      </c>
      <c r="E38" t="n">
        <v>9002</v>
      </c>
      <c r="F38" t="n">
        <v>6002</v>
      </c>
      <c r="G38" t="n">
        <v>55.62</v>
      </c>
      <c r="H38" t="n">
        <v>0.5562</v>
      </c>
      <c r="I38" t="inlineStr">
        <is>
          <t>non</t>
        </is>
      </c>
      <c r="J38" t="n">
        <v>1</v>
      </c>
      <c r="K38">
        <f>IF(AND(J38&lt;&gt;"", OR(J38=0, J38=1)), IF(ROUND(H38,0)=J38, 1, 0), "")</f>
        <v/>
      </c>
    </row>
    <row r="39">
      <c r="A39" t="n">
        <v>20260083</v>
      </c>
      <c r="B39" t="inlineStr">
        <is>
          <t>2026-04-16</t>
        </is>
      </c>
      <c r="C39" t="inlineStr">
        <is>
          <t>한화</t>
        </is>
      </c>
      <c r="D39" t="inlineStr">
        <is>
          <t>삼성</t>
        </is>
      </c>
      <c r="E39" t="n">
        <v>7002</v>
      </c>
      <c r="F39" t="n">
        <v>1001</v>
      </c>
      <c r="G39" t="n">
        <v>49.8</v>
      </c>
      <c r="H39" t="n">
        <v>0.498</v>
      </c>
      <c r="I39" t="inlineStr">
        <is>
          <t>non</t>
        </is>
      </c>
      <c r="J39" t="n">
        <v>0</v>
      </c>
      <c r="K39">
        <f>IF(AND(J39&lt;&gt;"", OR(J39=0, J39=1)), IF(ROUND(H39,0)=J39, 1, 0), "")</f>
        <v/>
      </c>
    </row>
    <row r="40">
      <c r="A40" t="n">
        <v>20260084</v>
      </c>
      <c r="B40" t="inlineStr">
        <is>
          <t>2026-04-16</t>
        </is>
      </c>
      <c r="C40" t="inlineStr">
        <is>
          <t>KIA</t>
        </is>
      </c>
      <c r="D40" t="inlineStr">
        <is>
          <t>키움</t>
        </is>
      </c>
      <c r="E40" t="n">
        <v>2002</v>
      </c>
      <c r="F40" t="n">
        <v>10001</v>
      </c>
      <c r="G40" t="n">
        <v>49.73</v>
      </c>
      <c r="H40" t="n">
        <v>0.4973</v>
      </c>
      <c r="I40" t="inlineStr">
        <is>
          <t>non</t>
        </is>
      </c>
      <c r="J40" t="n">
        <v>1</v>
      </c>
      <c r="K40">
        <f>IF(AND(J40&lt;&gt;"", OR(J40=0, J40=1)), IF(ROUND(H40,0)=J40, 1, 0), "")</f>
        <v/>
      </c>
    </row>
    <row r="41">
      <c r="A41" t="n">
        <v>20260085</v>
      </c>
      <c r="B41" t="inlineStr">
        <is>
          <t>2026-04-16</t>
        </is>
      </c>
      <c r="C41" t="inlineStr">
        <is>
          <t>NC</t>
        </is>
      </c>
      <c r="D41" t="inlineStr">
        <is>
          <t>KT</t>
        </is>
      </c>
      <c r="E41" t="n">
        <v>11001</v>
      </c>
      <c r="F41" t="n">
        <v>12001</v>
      </c>
      <c r="G41" t="n">
        <v>50.79</v>
      </c>
      <c r="H41" t="n">
        <v>0.5079</v>
      </c>
      <c r="I41" t="inlineStr">
        <is>
          <t>non</t>
        </is>
      </c>
      <c r="J41" t="n">
        <v>0</v>
      </c>
      <c r="K41">
        <f>IF(AND(J41&lt;&gt;"", OR(J41=0, J41=1)), IF(ROUND(H41,0)=J41, 1, 0), "")</f>
        <v/>
      </c>
    </row>
    <row r="42">
      <c r="A42" t="n">
        <v>20260086</v>
      </c>
      <c r="B42" t="inlineStr">
        <is>
          <t>2026-04-17</t>
        </is>
      </c>
      <c r="C42" t="inlineStr">
        <is>
          <t>두산</t>
        </is>
      </c>
      <c r="D42" t="inlineStr">
        <is>
          <t>KIA</t>
        </is>
      </c>
      <c r="E42" t="n">
        <v>6002</v>
      </c>
      <c r="F42" t="n">
        <v>2002</v>
      </c>
      <c r="G42" t="n">
        <v>53.6</v>
      </c>
      <c r="H42" t="n">
        <v>0.536</v>
      </c>
      <c r="I42" t="inlineStr">
        <is>
          <t>non</t>
        </is>
      </c>
      <c r="J42" t="n">
        <v>0</v>
      </c>
      <c r="K42">
        <f>IF(AND(J42&lt;&gt;"", OR(J42=0, J42=1)), IF(ROUND(H42,0)=J42, 1, 0), "")</f>
        <v/>
      </c>
    </row>
    <row r="43">
      <c r="A43" t="n">
        <v>20260087</v>
      </c>
      <c r="B43" t="inlineStr">
        <is>
          <t>2026-04-17</t>
        </is>
      </c>
      <c r="C43" t="inlineStr">
        <is>
          <t>KT</t>
        </is>
      </c>
      <c r="D43" t="inlineStr">
        <is>
          <t>키움</t>
        </is>
      </c>
      <c r="E43" t="n">
        <v>12001</v>
      </c>
      <c r="F43" t="n">
        <v>10001</v>
      </c>
      <c r="G43" t="n">
        <v>55.92</v>
      </c>
      <c r="H43" t="n">
        <v>0.5592</v>
      </c>
      <c r="I43" t="inlineStr">
        <is>
          <t>non</t>
        </is>
      </c>
      <c r="J43" t="n">
        <v>1</v>
      </c>
      <c r="K43">
        <f>IF(AND(J43&lt;&gt;"", OR(J43=0, J43=1)), IF(ROUND(H43,0)=J43, 1, 0), "")</f>
        <v/>
      </c>
    </row>
    <row r="44">
      <c r="A44" t="n">
        <v>20260088</v>
      </c>
      <c r="B44" t="inlineStr">
        <is>
          <t>2026-04-17</t>
        </is>
      </c>
      <c r="C44" t="inlineStr">
        <is>
          <t>삼성</t>
        </is>
      </c>
      <c r="D44" t="inlineStr">
        <is>
          <t>LG</t>
        </is>
      </c>
      <c r="E44" t="n">
        <v>1001</v>
      </c>
      <c r="F44" t="n">
        <v>5002</v>
      </c>
      <c r="G44" t="n">
        <v>50.52</v>
      </c>
      <c r="H44" t="n">
        <v>0.5052</v>
      </c>
      <c r="I44" t="inlineStr">
        <is>
          <t>non</t>
        </is>
      </c>
      <c r="J44" t="inlineStr">
        <is>
          <t>cancel</t>
        </is>
      </c>
      <c r="K44">
        <f>IF(AND(J44&lt;&gt;"", OR(J44=0, J44=1)), IF(ROUND(H44,0)=J44, 1, 0), "")</f>
        <v/>
      </c>
    </row>
    <row r="45">
      <c r="A45" t="n">
        <v>20260089</v>
      </c>
      <c r="B45" t="inlineStr">
        <is>
          <t>2026-04-17</t>
        </is>
      </c>
      <c r="C45" t="inlineStr">
        <is>
          <t>롯데</t>
        </is>
      </c>
      <c r="D45" t="inlineStr">
        <is>
          <t>한화</t>
        </is>
      </c>
      <c r="E45" t="n">
        <v>3001</v>
      </c>
      <c r="F45" t="n">
        <v>7002</v>
      </c>
      <c r="G45" t="n">
        <v>42.85</v>
      </c>
      <c r="H45" t="n">
        <v>0.4285</v>
      </c>
      <c r="I45" t="inlineStr">
        <is>
          <t>non</t>
        </is>
      </c>
      <c r="J45" t="inlineStr">
        <is>
          <t>cancel</t>
        </is>
      </c>
      <c r="K45">
        <f>IF(AND(J45&lt;&gt;"", OR(J45=0, J45=1)), IF(ROUND(H45,0)=J45, 1, 0), "")</f>
        <v/>
      </c>
    </row>
    <row r="46">
      <c r="A46" t="n">
        <v>20260090</v>
      </c>
      <c r="B46" t="inlineStr">
        <is>
          <t>2026-04-17</t>
        </is>
      </c>
      <c r="C46" t="inlineStr">
        <is>
          <t>NC</t>
        </is>
      </c>
      <c r="D46" t="inlineStr">
        <is>
          <t>SSG</t>
        </is>
      </c>
      <c r="E46" t="n">
        <v>11001</v>
      </c>
      <c r="F46" t="n">
        <v>9002</v>
      </c>
      <c r="G46" t="n">
        <v>49.71</v>
      </c>
      <c r="H46" t="n">
        <v>0.4971</v>
      </c>
      <c r="I46" t="inlineStr">
        <is>
          <t>non</t>
        </is>
      </c>
      <c r="J46" t="inlineStr">
        <is>
          <t>cancel</t>
        </is>
      </c>
      <c r="K46">
        <f>IF(AND(J46&lt;&gt;"", OR(J46=0, J46=1)), IF(ROUND(H46,0)=J46, 1, 0), "")</f>
        <v/>
      </c>
    </row>
    <row r="47">
      <c r="A47" t="n">
        <v>20260091</v>
      </c>
      <c r="B47" t="inlineStr">
        <is>
          <t>2026-04-18</t>
        </is>
      </c>
      <c r="C47" t="inlineStr">
        <is>
          <t>두산</t>
        </is>
      </c>
      <c r="D47" t="inlineStr">
        <is>
          <t>KIA</t>
        </is>
      </c>
      <c r="E47" t="n">
        <v>6002</v>
      </c>
      <c r="F47" t="n">
        <v>2002</v>
      </c>
      <c r="G47" t="n">
        <v>31.55</v>
      </c>
      <c r="H47" t="n">
        <v>0.3155</v>
      </c>
      <c r="I47" t="inlineStr">
        <is>
          <t>sp</t>
        </is>
      </c>
      <c r="J47" t="n">
        <v>1</v>
      </c>
      <c r="K47">
        <f>IF(AND(J47&lt;&gt;"", OR(J47=0, J47=1)), IF(ROUND(H47,0)=J47, 1, 0), "")</f>
        <v/>
      </c>
    </row>
    <row r="48">
      <c r="A48" t="n">
        <v>20260092</v>
      </c>
      <c r="B48" t="inlineStr">
        <is>
          <t>2026-04-18</t>
        </is>
      </c>
      <c r="C48" t="inlineStr">
        <is>
          <t>KT</t>
        </is>
      </c>
      <c r="D48" t="inlineStr">
        <is>
          <t>키움</t>
        </is>
      </c>
      <c r="E48" t="n">
        <v>12001</v>
      </c>
      <c r="F48" t="n">
        <v>10001</v>
      </c>
      <c r="G48" t="n">
        <v>56.35</v>
      </c>
      <c r="H48" t="n">
        <v>0.5635</v>
      </c>
      <c r="I48" t="inlineStr">
        <is>
          <t>sp</t>
        </is>
      </c>
      <c r="J48" t="n">
        <v>1</v>
      </c>
      <c r="K48">
        <f>IF(AND(J48&lt;&gt;"", OR(J48=0, J48=1)), IF(ROUND(H48,0)=J48, 1, 0), "")</f>
        <v/>
      </c>
    </row>
    <row r="49">
      <c r="A49" t="n">
        <v>20260093</v>
      </c>
      <c r="B49" t="inlineStr">
        <is>
          <t>2026-04-18</t>
        </is>
      </c>
      <c r="C49" t="inlineStr">
        <is>
          <t>삼성</t>
        </is>
      </c>
      <c r="D49" t="inlineStr">
        <is>
          <t>LG</t>
        </is>
      </c>
      <c r="E49" t="n">
        <v>1001</v>
      </c>
      <c r="F49" t="n">
        <v>5002</v>
      </c>
      <c r="G49" t="n">
        <v>44.98</v>
      </c>
      <c r="H49" t="n">
        <v>0.4498</v>
      </c>
      <c r="I49" t="inlineStr">
        <is>
          <t>sp</t>
        </is>
      </c>
      <c r="J49" t="n">
        <v>1</v>
      </c>
      <c r="K49">
        <f>IF(AND(J49&lt;&gt;"", OR(J49=0, J49=1)), IF(ROUND(H49,0)=J49, 1, 0), "")</f>
        <v/>
      </c>
    </row>
    <row r="50">
      <c r="A50" t="n">
        <v>20260094</v>
      </c>
      <c r="B50" t="inlineStr">
        <is>
          <t>2026-04-18</t>
        </is>
      </c>
      <c r="C50" t="inlineStr">
        <is>
          <t>롯데</t>
        </is>
      </c>
      <c r="D50" t="inlineStr">
        <is>
          <t>한화</t>
        </is>
      </c>
      <c r="E50" t="n">
        <v>3001</v>
      </c>
      <c r="F50" t="n">
        <v>7002</v>
      </c>
      <c r="G50" t="n">
        <v>42.59</v>
      </c>
      <c r="H50" t="n">
        <v>0.4259</v>
      </c>
      <c r="I50" t="inlineStr">
        <is>
          <t>sp</t>
        </is>
      </c>
      <c r="J50" t="n">
        <v>0</v>
      </c>
      <c r="K50">
        <f>IF(AND(J50&lt;&gt;"", OR(J50=0, J50=1)), IF(ROUND(H50,0)=J50, 1, 0), "")</f>
        <v/>
      </c>
    </row>
    <row r="51">
      <c r="A51" t="n">
        <v>20260095</v>
      </c>
      <c r="B51" t="inlineStr">
        <is>
          <t>2026-04-18</t>
        </is>
      </c>
      <c r="C51" t="inlineStr">
        <is>
          <t>NC</t>
        </is>
      </c>
      <c r="D51" t="inlineStr">
        <is>
          <t>SSG</t>
        </is>
      </c>
      <c r="E51" t="n">
        <v>11001</v>
      </c>
      <c r="F51" t="n">
        <v>9002</v>
      </c>
      <c r="G51" t="n">
        <v>58.07</v>
      </c>
      <c r="H51" t="n">
        <v>0.5807</v>
      </c>
      <c r="I51" t="inlineStr">
        <is>
          <t>sp</t>
        </is>
      </c>
      <c r="J51" t="n">
        <v>0</v>
      </c>
      <c r="K51">
        <f>IF(AND(J51&lt;&gt;"", OR(J51=0, J51=1)), IF(ROUND(H51,0)=J51, 1, 0), "")</f>
        <v/>
      </c>
    </row>
    <row r="52">
      <c r="A52" t="n">
        <v>20260096</v>
      </c>
      <c r="B52" t="inlineStr">
        <is>
          <t>2026-04-19</t>
        </is>
      </c>
      <c r="C52" t="inlineStr">
        <is>
          <t>두산</t>
        </is>
      </c>
      <c r="D52" t="inlineStr">
        <is>
          <t>KIA</t>
        </is>
      </c>
      <c r="E52" t="n">
        <v>6002</v>
      </c>
      <c r="F52" t="n">
        <v>2002</v>
      </c>
      <c r="G52" t="n">
        <v>56.92</v>
      </c>
      <c r="H52" t="n">
        <v>0.5692</v>
      </c>
      <c r="I52" t="inlineStr">
        <is>
          <t>sp</t>
        </is>
      </c>
      <c r="J52" t="n">
        <v>1</v>
      </c>
      <c r="K52">
        <f>IF(AND(J52&lt;&gt;"", OR(J52=0, J52=1)), IF(ROUND(H52,0)=J52, 1, 0), "")</f>
        <v/>
      </c>
    </row>
    <row r="53">
      <c r="A53" t="n">
        <v>20260097</v>
      </c>
      <c r="B53" t="inlineStr">
        <is>
          <t>2026-04-19</t>
        </is>
      </c>
      <c r="C53" t="inlineStr">
        <is>
          <t>KT</t>
        </is>
      </c>
      <c r="D53" t="inlineStr">
        <is>
          <t>키움</t>
        </is>
      </c>
      <c r="E53" t="n">
        <v>12001</v>
      </c>
      <c r="F53" t="n">
        <v>10001</v>
      </c>
      <c r="G53" t="n">
        <v>63.18</v>
      </c>
      <c r="H53" t="n">
        <v>0.6318</v>
      </c>
      <c r="I53" t="inlineStr">
        <is>
          <t>sp</t>
        </is>
      </c>
      <c r="J53" t="n">
        <v>0</v>
      </c>
      <c r="K53">
        <f>IF(AND(J53&lt;&gt;"", OR(J53=0, J53=1)), IF(ROUND(H53,0)=J53, 1, 0), "")</f>
        <v/>
      </c>
    </row>
    <row r="54">
      <c r="A54" t="n">
        <v>20260098</v>
      </c>
      <c r="B54" t="inlineStr">
        <is>
          <t>2026-04-19</t>
        </is>
      </c>
      <c r="C54" t="inlineStr">
        <is>
          <t>삼성</t>
        </is>
      </c>
      <c r="D54" t="inlineStr">
        <is>
          <t>LG</t>
        </is>
      </c>
      <c r="E54" t="n">
        <v>1001</v>
      </c>
      <c r="F54" t="n">
        <v>5002</v>
      </c>
      <c r="G54" t="n">
        <v>60.41</v>
      </c>
      <c r="H54" t="n">
        <v>0.6041</v>
      </c>
      <c r="I54" t="inlineStr">
        <is>
          <t>sp</t>
        </is>
      </c>
      <c r="J54" t="n">
        <v>0</v>
      </c>
      <c r="K54">
        <f>IF(AND(J54&lt;&gt;"", OR(J54=0, J54=1)), IF(ROUND(H54,0)=J54, 1, 0), "")</f>
        <v/>
      </c>
    </row>
    <row r="55">
      <c r="A55" t="n">
        <v>20260099</v>
      </c>
      <c r="B55" t="inlineStr">
        <is>
          <t>2026-04-19</t>
        </is>
      </c>
      <c r="C55" t="inlineStr">
        <is>
          <t>롯데</t>
        </is>
      </c>
      <c r="D55" t="inlineStr">
        <is>
          <t>한화</t>
        </is>
      </c>
      <c r="E55" t="n">
        <v>3001</v>
      </c>
      <c r="F55" t="n">
        <v>7002</v>
      </c>
      <c r="G55" t="n">
        <v>72.73999999999999</v>
      </c>
      <c r="H55" t="n">
        <v>0.7274</v>
      </c>
      <c r="I55" t="inlineStr">
        <is>
          <t>sp</t>
        </is>
      </c>
      <c r="J55" t="n">
        <v>1</v>
      </c>
      <c r="K55">
        <f>IF(AND(J55&lt;&gt;"", OR(J55=0, J55=1)), IF(ROUND(H55,0)=J55, 1, 0), "")</f>
        <v/>
      </c>
    </row>
    <row r="56">
      <c r="A56" t="n">
        <v>20260100</v>
      </c>
      <c r="B56" t="inlineStr">
        <is>
          <t>2026-04-19</t>
        </is>
      </c>
      <c r="C56" t="inlineStr">
        <is>
          <t>NC</t>
        </is>
      </c>
      <c r="D56" t="inlineStr">
        <is>
          <t>SSG</t>
        </is>
      </c>
      <c r="E56" t="n">
        <v>11001</v>
      </c>
      <c r="F56" t="n">
        <v>9002</v>
      </c>
      <c r="G56" t="n">
        <v>74.58</v>
      </c>
      <c r="H56" t="n">
        <v>0.7458</v>
      </c>
      <c r="I56" t="inlineStr">
        <is>
          <t>sp</t>
        </is>
      </c>
      <c r="J56" t="n">
        <v>0</v>
      </c>
      <c r="K56">
        <f>IF(AND(J56&lt;&gt;"", OR(J56=0, J56=1)), IF(ROUND(H56,0)=J56, 1, 0), "")</f>
        <v/>
      </c>
    </row>
    <row r="57">
      <c r="A57" t="n">
        <v>20260101</v>
      </c>
      <c r="B57" t="inlineStr">
        <is>
          <t>2026-04-21</t>
        </is>
      </c>
      <c r="C57" t="inlineStr">
        <is>
          <t>LG</t>
        </is>
      </c>
      <c r="D57" t="inlineStr">
        <is>
          <t>한화</t>
        </is>
      </c>
      <c r="E57" t="n">
        <v>5002</v>
      </c>
      <c r="F57" t="n">
        <v>7002</v>
      </c>
      <c r="G57" t="n">
        <v>60.2</v>
      </c>
      <c r="H57" t="n">
        <v>0.602</v>
      </c>
      <c r="I57" t="inlineStr">
        <is>
          <t>full</t>
        </is>
      </c>
      <c r="J57" t="n">
        <v>1</v>
      </c>
      <c r="K57">
        <f>IF(AND(J57&lt;&gt;"", OR(J57=0, J57=1)), IF(ROUND(H57,0)=J57, 1, 0), "")</f>
        <v/>
      </c>
    </row>
    <row r="58">
      <c r="A58" t="n">
        <v>20260102</v>
      </c>
      <c r="B58" t="inlineStr">
        <is>
          <t>2026-04-21</t>
        </is>
      </c>
      <c r="C58" t="inlineStr">
        <is>
          <t>키움</t>
        </is>
      </c>
      <c r="D58" t="inlineStr">
        <is>
          <t>NC</t>
        </is>
      </c>
      <c r="E58" t="n">
        <v>10001</v>
      </c>
      <c r="F58" t="n">
        <v>11001</v>
      </c>
      <c r="G58" t="n">
        <v>37.09</v>
      </c>
      <c r="H58" t="n">
        <v>0.3709</v>
      </c>
      <c r="I58" t="inlineStr">
        <is>
          <t>full</t>
        </is>
      </c>
      <c r="J58" t="n">
        <v>1</v>
      </c>
      <c r="K58">
        <f>IF(AND(J58&lt;&gt;"", OR(J58=0, J58=1)), IF(ROUND(H58,0)=J58, 1, 0), "")</f>
        <v/>
      </c>
    </row>
    <row r="59">
      <c r="A59" t="n">
        <v>20260103</v>
      </c>
      <c r="B59" t="inlineStr">
        <is>
          <t>2026-04-21</t>
        </is>
      </c>
      <c r="C59" t="inlineStr">
        <is>
          <t>KT</t>
        </is>
      </c>
      <c r="D59" t="inlineStr">
        <is>
          <t>KIA</t>
        </is>
      </c>
      <c r="E59" t="n">
        <v>12001</v>
      </c>
      <c r="F59" t="n">
        <v>2002</v>
      </c>
      <c r="G59" t="n">
        <v>84.59999999999999</v>
      </c>
      <c r="H59" t="n">
        <v>0.846</v>
      </c>
      <c r="I59" t="inlineStr">
        <is>
          <t>full</t>
        </is>
      </c>
      <c r="J59" t="n">
        <v>1</v>
      </c>
      <c r="K59">
        <f>IF(AND(J59&lt;&gt;"", OR(J59=0, J59=1)), IF(ROUND(H59,0)=J59, 1, 0), "")</f>
        <v/>
      </c>
    </row>
    <row r="60">
      <c r="A60" t="n">
        <v>20260104</v>
      </c>
      <c r="B60" t="inlineStr">
        <is>
          <t>2026-04-21</t>
        </is>
      </c>
      <c r="C60" t="inlineStr">
        <is>
          <t>삼성</t>
        </is>
      </c>
      <c r="D60" t="inlineStr">
        <is>
          <t>SSG</t>
        </is>
      </c>
      <c r="E60" t="n">
        <v>1001</v>
      </c>
      <c r="F60" t="n">
        <v>9002</v>
      </c>
      <c r="G60" t="n">
        <v>53.4</v>
      </c>
      <c r="H60" t="n">
        <v>0.534</v>
      </c>
      <c r="I60" t="inlineStr">
        <is>
          <t>full</t>
        </is>
      </c>
      <c r="J60" t="n">
        <v>0</v>
      </c>
      <c r="K60">
        <f>IF(AND(J60&lt;&gt;"", OR(J60=0, J60=1)), IF(ROUND(H60,0)=J60, 1, 0), "")</f>
        <v/>
      </c>
    </row>
    <row r="61">
      <c r="A61" t="n">
        <v>20260105</v>
      </c>
      <c r="B61" t="inlineStr">
        <is>
          <t>2026-04-21</t>
        </is>
      </c>
      <c r="C61" t="inlineStr">
        <is>
          <t>롯데</t>
        </is>
      </c>
      <c r="D61" t="inlineStr">
        <is>
          <t>두산</t>
        </is>
      </c>
      <c r="E61" t="n">
        <v>3001</v>
      </c>
      <c r="F61" t="n">
        <v>6002</v>
      </c>
      <c r="G61" t="n">
        <v>60.27</v>
      </c>
      <c r="H61" t="n">
        <v>0.6027</v>
      </c>
      <c r="I61" t="inlineStr">
        <is>
          <t>full</t>
        </is>
      </c>
      <c r="J61" t="n">
        <v>0</v>
      </c>
      <c r="K61">
        <f>IF(AND(J61&lt;&gt;"", OR(J61=0, J61=1)), IF(ROUND(H61,0)=J61, 1, 0), "")</f>
        <v/>
      </c>
    </row>
    <row r="62">
      <c r="A62" t="n">
        <v>20260106</v>
      </c>
      <c r="B62" t="inlineStr">
        <is>
          <t>2026-04-22</t>
        </is>
      </c>
      <c r="C62" t="inlineStr">
        <is>
          <t>LG</t>
        </is>
      </c>
      <c r="D62" t="inlineStr">
        <is>
          <t>한화</t>
        </is>
      </c>
      <c r="E62" t="n">
        <v>5002</v>
      </c>
      <c r="F62" t="n">
        <v>7002</v>
      </c>
      <c r="G62" t="n">
        <v>36.57</v>
      </c>
      <c r="H62" t="n">
        <v>0.3657</v>
      </c>
      <c r="I62" t="inlineStr">
        <is>
          <t>full</t>
        </is>
      </c>
      <c r="J62" t="n">
        <v>1</v>
      </c>
      <c r="K62">
        <f>IF(AND(J62&lt;&gt;"", OR(J62=0, J62=1)), IF(ROUND(H62,0)=J62, 1, 0), "")</f>
        <v/>
      </c>
    </row>
    <row r="63">
      <c r="A63" t="n">
        <v>20260107</v>
      </c>
      <c r="B63" t="inlineStr">
        <is>
          <t>2026-04-22</t>
        </is>
      </c>
      <c r="C63" t="inlineStr">
        <is>
          <t>키움</t>
        </is>
      </c>
      <c r="D63" t="inlineStr">
        <is>
          <t>NC</t>
        </is>
      </c>
      <c r="E63" t="n">
        <v>10001</v>
      </c>
      <c r="F63" t="n">
        <v>11001</v>
      </c>
      <c r="G63" t="n">
        <v>64.45</v>
      </c>
      <c r="H63" t="n">
        <v>0.6445</v>
      </c>
      <c r="I63" t="inlineStr">
        <is>
          <t>full</t>
        </is>
      </c>
      <c r="J63" t="n">
        <v>1</v>
      </c>
      <c r="K63">
        <f>IF(AND(J63&lt;&gt;"", OR(J63=0, J63=1)), IF(ROUND(H63,0)=J63, 1, 0), "")</f>
        <v/>
      </c>
    </row>
    <row r="64">
      <c r="A64" t="n">
        <v>20260108</v>
      </c>
      <c r="B64" t="inlineStr">
        <is>
          <t>2026-04-22</t>
        </is>
      </c>
      <c r="C64" t="inlineStr">
        <is>
          <t>KT</t>
        </is>
      </c>
      <c r="D64" t="inlineStr">
        <is>
          <t>KIA</t>
        </is>
      </c>
      <c r="E64" t="n">
        <v>12001</v>
      </c>
      <c r="F64" t="n">
        <v>2002</v>
      </c>
      <c r="G64" t="n">
        <v>34.28</v>
      </c>
      <c r="H64" t="n">
        <v>0.3428</v>
      </c>
      <c r="I64" t="inlineStr">
        <is>
          <t>full</t>
        </is>
      </c>
      <c r="J64" t="n">
        <v>1</v>
      </c>
      <c r="K64">
        <f>IF(AND(J64&lt;&gt;"", OR(J64=0, J64=1)), IF(ROUND(H64,0)=J64, 1, 0), "")</f>
        <v/>
      </c>
    </row>
    <row r="65">
      <c r="A65" t="n">
        <v>20260109</v>
      </c>
      <c r="B65" t="inlineStr">
        <is>
          <t>2026-04-22</t>
        </is>
      </c>
      <c r="C65" t="inlineStr">
        <is>
          <t>삼성</t>
        </is>
      </c>
      <c r="D65" t="inlineStr">
        <is>
          <t>SSG</t>
        </is>
      </c>
      <c r="E65" t="n">
        <v>1001</v>
      </c>
      <c r="F65" t="n">
        <v>9002</v>
      </c>
      <c r="G65" t="n">
        <v>53.52</v>
      </c>
      <c r="H65" t="n">
        <v>0.5352</v>
      </c>
      <c r="I65" t="inlineStr">
        <is>
          <t>full</t>
        </is>
      </c>
      <c r="J65" t="n">
        <v>0</v>
      </c>
      <c r="K65">
        <f>IF(AND(J65&lt;&gt;"", OR(J65=0, J65=1)), IF(ROUND(H65,0)=J65, 1, 0), "")</f>
        <v/>
      </c>
    </row>
    <row r="66">
      <c r="A66" t="n">
        <v>20260110</v>
      </c>
      <c r="B66" t="inlineStr">
        <is>
          <t>2026-04-22</t>
        </is>
      </c>
      <c r="C66" t="inlineStr">
        <is>
          <t>롯데</t>
        </is>
      </c>
      <c r="D66" t="inlineStr">
        <is>
          <t>두산</t>
        </is>
      </c>
      <c r="E66" t="n">
        <v>3001</v>
      </c>
      <c r="F66" t="n">
        <v>6002</v>
      </c>
      <c r="G66" t="n">
        <v>49.38</v>
      </c>
      <c r="H66" t="n">
        <v>0.4938</v>
      </c>
      <c r="I66" t="inlineStr">
        <is>
          <t>full</t>
        </is>
      </c>
      <c r="J66" t="n">
        <v>0</v>
      </c>
      <c r="K66">
        <f>IF(AND(J66&lt;&gt;"", OR(J66=0, J66=1)), IF(ROUND(H66,0)=J66, 1, 0), "")</f>
        <v/>
      </c>
    </row>
    <row r="67">
      <c r="A67" t="n">
        <v>20260111</v>
      </c>
      <c r="B67" t="inlineStr">
        <is>
          <t>2026-04-23</t>
        </is>
      </c>
      <c r="C67" t="inlineStr">
        <is>
          <t>LG</t>
        </is>
      </c>
      <c r="D67" t="inlineStr">
        <is>
          <t>한화</t>
        </is>
      </c>
      <c r="E67" t="n">
        <v>5002</v>
      </c>
      <c r="F67" t="n">
        <v>7002</v>
      </c>
      <c r="G67" t="n">
        <v>27.98</v>
      </c>
      <c r="H67" t="n">
        <v>0.2798</v>
      </c>
      <c r="I67" t="inlineStr">
        <is>
          <t>core_full</t>
        </is>
      </c>
      <c r="J67" t="n">
        <v>0</v>
      </c>
      <c r="K67">
        <f>IF(AND(J67&lt;&gt;"", OR(J67=0, J67=1)), IF(ROUND(H67,0)=J67, 1, 0), "")</f>
        <v/>
      </c>
    </row>
    <row r="68">
      <c r="A68" t="n">
        <v>20260112</v>
      </c>
      <c r="B68" t="inlineStr">
        <is>
          <t>2026-04-23</t>
        </is>
      </c>
      <c r="C68" t="inlineStr">
        <is>
          <t>키움</t>
        </is>
      </c>
      <c r="D68" t="inlineStr">
        <is>
          <t>NC</t>
        </is>
      </c>
      <c r="E68" t="n">
        <v>10001</v>
      </c>
      <c r="F68" t="n">
        <v>11001</v>
      </c>
      <c r="G68" t="n">
        <v>31.51</v>
      </c>
      <c r="H68" t="n">
        <v>0.3151</v>
      </c>
      <c r="I68" t="inlineStr">
        <is>
          <t>core_full</t>
        </is>
      </c>
      <c r="J68" t="n">
        <v>0</v>
      </c>
      <c r="K68">
        <f>IF(AND(J68&lt;&gt;"", OR(J68=0, J68=1)), IF(ROUND(H68,0)=J68, 1, 0), "")</f>
        <v/>
      </c>
    </row>
    <row r="69">
      <c r="A69" t="n">
        <v>20260113</v>
      </c>
      <c r="B69" t="inlineStr">
        <is>
          <t>2026-04-23</t>
        </is>
      </c>
      <c r="C69" t="inlineStr">
        <is>
          <t>KT</t>
        </is>
      </c>
      <c r="D69" t="inlineStr">
        <is>
          <t>KIA</t>
        </is>
      </c>
      <c r="E69" t="n">
        <v>12001</v>
      </c>
      <c r="F69" t="n">
        <v>2002</v>
      </c>
      <c r="G69" t="n">
        <v>66.39</v>
      </c>
      <c r="H69" t="n">
        <v>0.6639</v>
      </c>
      <c r="I69" t="inlineStr">
        <is>
          <t>core_full</t>
        </is>
      </c>
      <c r="J69" t="n">
        <v>1</v>
      </c>
      <c r="K69">
        <f>IF(AND(J69&lt;&gt;"", OR(J69=0, J69=1)), IF(ROUND(H69,0)=J69, 1, 0), "")</f>
        <v/>
      </c>
    </row>
    <row r="70">
      <c r="A70" t="n">
        <v>20260114</v>
      </c>
      <c r="B70" t="inlineStr">
        <is>
          <t>2026-04-23</t>
        </is>
      </c>
      <c r="C70" t="inlineStr">
        <is>
          <t>삼성</t>
        </is>
      </c>
      <c r="D70" t="inlineStr">
        <is>
          <t>SSG</t>
        </is>
      </c>
      <c r="E70" t="n">
        <v>1001</v>
      </c>
      <c r="F70" t="n">
        <v>9002</v>
      </c>
      <c r="G70" t="n">
        <v>43.72</v>
      </c>
      <c r="H70" t="n">
        <v>0.4372</v>
      </c>
      <c r="I70" t="inlineStr">
        <is>
          <t>core_full</t>
        </is>
      </c>
      <c r="J70" t="n">
        <v>0</v>
      </c>
      <c r="K70">
        <f>IF(AND(J70&lt;&gt;"", OR(J70=0, J70=1)), IF(ROUND(H70,0)=J70, 1, 0), "")</f>
        <v/>
      </c>
    </row>
    <row r="71">
      <c r="A71" t="n">
        <v>20260115</v>
      </c>
      <c r="B71" t="inlineStr">
        <is>
          <t>2026-04-23</t>
        </is>
      </c>
      <c r="C71" t="inlineStr">
        <is>
          <t>롯데</t>
        </is>
      </c>
      <c r="D71" t="inlineStr">
        <is>
          <t>두산</t>
        </is>
      </c>
      <c r="E71" t="n">
        <v>3001</v>
      </c>
      <c r="F71" t="n">
        <v>6002</v>
      </c>
      <c r="G71" t="n">
        <v>38.88</v>
      </c>
      <c r="H71" t="n">
        <v>0.3888</v>
      </c>
      <c r="I71" t="inlineStr">
        <is>
          <t>core_full</t>
        </is>
      </c>
      <c r="J71" t="n">
        <v>1</v>
      </c>
      <c r="K71">
        <f>IF(AND(J71&lt;&gt;"", OR(J71=0, J71=1)), IF(ROUND(H71,0)=J71, 1, 0), "")</f>
        <v/>
      </c>
    </row>
    <row r="72">
      <c r="A72" t="n">
        <v>20260116</v>
      </c>
      <c r="B72" t="inlineStr">
        <is>
          <t>2026-04-24</t>
        </is>
      </c>
      <c r="C72" t="inlineStr">
        <is>
          <t>두산</t>
        </is>
      </c>
      <c r="D72" t="inlineStr">
        <is>
          <t>LG</t>
        </is>
      </c>
      <c r="E72" t="n">
        <v>6002</v>
      </c>
      <c r="F72" t="n">
        <v>5002</v>
      </c>
      <c r="G72" t="n">
        <v>53.33</v>
      </c>
      <c r="H72" t="n">
        <v>0.5333</v>
      </c>
      <c r="I72" t="inlineStr">
        <is>
          <t>core_full</t>
        </is>
      </c>
      <c r="J72" t="n">
        <v>0</v>
      </c>
      <c r="K72">
        <f>IF(AND(J72&lt;&gt;"", OR(J72=0, J72=1)), IF(ROUND(H72,0)=J72, 1, 0), "")</f>
        <v/>
      </c>
    </row>
    <row r="73">
      <c r="A73" t="n">
        <v>20260117</v>
      </c>
      <c r="B73" t="inlineStr">
        <is>
          <t>2026-04-24</t>
        </is>
      </c>
      <c r="C73" t="inlineStr">
        <is>
          <t>키움</t>
        </is>
      </c>
      <c r="D73" t="inlineStr">
        <is>
          <t>삼성</t>
        </is>
      </c>
      <c r="E73" t="n">
        <v>10001</v>
      </c>
      <c r="F73" t="n">
        <v>1001</v>
      </c>
      <c r="G73" t="n">
        <v>60.71</v>
      </c>
      <c r="H73" t="n">
        <v>0.6071</v>
      </c>
      <c r="I73" t="inlineStr">
        <is>
          <t>core_full</t>
        </is>
      </c>
      <c r="J73" t="n">
        <v>1</v>
      </c>
      <c r="K73">
        <f>IF(AND(J73&lt;&gt;"", OR(J73=0, J73=1)), IF(ROUND(H73,0)=J73, 1, 0), "")</f>
        <v/>
      </c>
    </row>
    <row r="74">
      <c r="A74" t="n">
        <v>20260118</v>
      </c>
      <c r="B74" t="inlineStr">
        <is>
          <t>2026-04-24</t>
        </is>
      </c>
      <c r="C74" t="inlineStr">
        <is>
          <t>SSG</t>
        </is>
      </c>
      <c r="D74" t="inlineStr">
        <is>
          <t>KT</t>
        </is>
      </c>
      <c r="E74" t="n">
        <v>9002</v>
      </c>
      <c r="F74" t="n">
        <v>12001</v>
      </c>
      <c r="G74" t="n">
        <v>19.15</v>
      </c>
      <c r="H74" t="n">
        <v>0.1915</v>
      </c>
      <c r="I74" t="inlineStr">
        <is>
          <t>core_full</t>
        </is>
      </c>
      <c r="J74" t="n">
        <v>1</v>
      </c>
      <c r="K74">
        <f>IF(AND(J74&lt;&gt;"", OR(J74=0, J74=1)), IF(ROUND(H74,0)=J74, 1, 0), "")</f>
        <v/>
      </c>
    </row>
    <row r="75">
      <c r="A75" t="n">
        <v>20260119</v>
      </c>
      <c r="B75" t="inlineStr">
        <is>
          <t>2026-04-24</t>
        </is>
      </c>
      <c r="C75" t="inlineStr">
        <is>
          <t>한화</t>
        </is>
      </c>
      <c r="D75" t="inlineStr">
        <is>
          <t>NC</t>
        </is>
      </c>
      <c r="E75" t="n">
        <v>7002</v>
      </c>
      <c r="F75" t="n">
        <v>11001</v>
      </c>
      <c r="G75" t="n">
        <v>60.9</v>
      </c>
      <c r="H75" t="n">
        <v>0.609</v>
      </c>
      <c r="I75" t="inlineStr">
        <is>
          <t>core_full</t>
        </is>
      </c>
      <c r="J75" t="n">
        <v>0</v>
      </c>
      <c r="K75">
        <f>IF(AND(J75&lt;&gt;"", OR(J75=0, J75=1)), IF(ROUND(H75,0)=J75, 1, 0), "")</f>
        <v/>
      </c>
    </row>
    <row r="76">
      <c r="A76" t="n">
        <v>20260120</v>
      </c>
      <c r="B76" t="inlineStr">
        <is>
          <t>2026-04-24</t>
        </is>
      </c>
      <c r="C76" t="inlineStr">
        <is>
          <t>KIA</t>
        </is>
      </c>
      <c r="D76" t="inlineStr">
        <is>
          <t>롯데</t>
        </is>
      </c>
      <c r="E76" t="n">
        <v>2002</v>
      </c>
      <c r="F76" t="n">
        <v>3001</v>
      </c>
      <c r="G76" t="n">
        <v>66.59</v>
      </c>
      <c r="H76" t="n">
        <v>0.6659</v>
      </c>
      <c r="I76" t="inlineStr">
        <is>
          <t>core_full</t>
        </is>
      </c>
      <c r="J76" t="n">
        <v>1</v>
      </c>
      <c r="K76">
        <f>IF(AND(J76&lt;&gt;"", OR(J76=0, J76=1)), IF(ROUND(H76,0)=J76, 1, 0), "")</f>
        <v/>
      </c>
    </row>
    <row r="77">
      <c r="A77" t="n">
        <v>20260121</v>
      </c>
      <c r="B77" t="inlineStr">
        <is>
          <t>2026-04-25</t>
        </is>
      </c>
      <c r="C77" t="inlineStr">
        <is>
          <t>두산</t>
        </is>
      </c>
      <c r="D77" t="inlineStr">
        <is>
          <t>LG</t>
        </is>
      </c>
      <c r="E77" t="n">
        <v>6002</v>
      </c>
      <c r="F77" t="n">
        <v>5002</v>
      </c>
      <c r="G77" t="n">
        <v>56.75</v>
      </c>
      <c r="H77" t="n">
        <v>0.5675</v>
      </c>
      <c r="I77" t="inlineStr">
        <is>
          <t>core_sp</t>
        </is>
      </c>
      <c r="J77" t="n">
        <v>0</v>
      </c>
      <c r="K77">
        <f>IF(AND(J77&lt;&gt;"", OR(J77=0, J77=1)), IF(ROUND(H77,0)=J77, 1, 0), "")</f>
        <v/>
      </c>
    </row>
    <row r="78">
      <c r="A78" t="n">
        <v>20260122</v>
      </c>
      <c r="B78" t="inlineStr">
        <is>
          <t>2026-04-25</t>
        </is>
      </c>
      <c r="C78" t="inlineStr">
        <is>
          <t>키움</t>
        </is>
      </c>
      <c r="D78" t="inlineStr">
        <is>
          <t>삼성</t>
        </is>
      </c>
      <c r="E78" t="n">
        <v>10001</v>
      </c>
      <c r="F78" t="n">
        <v>1001</v>
      </c>
      <c r="G78" t="n">
        <v>46.12</v>
      </c>
      <c r="H78" t="n">
        <v>0.4612</v>
      </c>
      <c r="I78" t="inlineStr">
        <is>
          <t>core_sp</t>
        </is>
      </c>
      <c r="J78" t="n">
        <v>1</v>
      </c>
      <c r="K78">
        <f>IF(AND(J78&lt;&gt;"", OR(J78=0, J78=1)), IF(ROUND(H78,0)=J78, 1, 0), "")</f>
        <v/>
      </c>
    </row>
    <row r="79">
      <c r="A79" t="n">
        <v>20260123</v>
      </c>
      <c r="B79" t="inlineStr">
        <is>
          <t>2026-04-25</t>
        </is>
      </c>
      <c r="C79" t="inlineStr">
        <is>
          <t>SSG</t>
        </is>
      </c>
      <c r="D79" t="inlineStr">
        <is>
          <t>KT</t>
        </is>
      </c>
      <c r="E79" t="n">
        <v>9002</v>
      </c>
      <c r="F79" t="n">
        <v>12001</v>
      </c>
      <c r="G79" t="n">
        <v>24.68</v>
      </c>
      <c r="H79" t="n">
        <v>0.2468</v>
      </c>
      <c r="I79" t="inlineStr">
        <is>
          <t>core_sp</t>
        </is>
      </c>
      <c r="J79" t="n">
        <v>1</v>
      </c>
      <c r="K79">
        <f>IF(AND(J79&lt;&gt;"", OR(J79=0, J79=1)), IF(ROUND(H79,0)=J79, 1, 0), "")</f>
        <v/>
      </c>
    </row>
    <row r="80">
      <c r="A80" t="n">
        <v>20260124</v>
      </c>
      <c r="B80" t="inlineStr">
        <is>
          <t>2026-04-25</t>
        </is>
      </c>
      <c r="C80" t="inlineStr">
        <is>
          <t>한화</t>
        </is>
      </c>
      <c r="D80" t="inlineStr">
        <is>
          <t>NC</t>
        </is>
      </c>
      <c r="E80" t="n">
        <v>7002</v>
      </c>
      <c r="F80" t="n">
        <v>11001</v>
      </c>
      <c r="G80" t="n">
        <v>35.75</v>
      </c>
      <c r="H80" t="n">
        <v>0.3575</v>
      </c>
      <c r="I80" t="inlineStr">
        <is>
          <t>core_sp</t>
        </is>
      </c>
      <c r="J80" t="n">
        <v>1</v>
      </c>
      <c r="K80">
        <f>IF(AND(J80&lt;&gt;"", OR(J80=0, J80=1)), IF(ROUND(H80,0)=J80, 1, 0), "")</f>
        <v/>
      </c>
    </row>
    <row r="81">
      <c r="A81" t="n">
        <v>20260125</v>
      </c>
      <c r="B81" t="inlineStr">
        <is>
          <t>2026-04-25</t>
        </is>
      </c>
      <c r="C81" t="inlineStr">
        <is>
          <t>KIA</t>
        </is>
      </c>
      <c r="D81" t="inlineStr">
        <is>
          <t>롯데</t>
        </is>
      </c>
      <c r="E81" t="n">
        <v>2002</v>
      </c>
      <c r="F81" t="n">
        <v>3001</v>
      </c>
      <c r="G81" t="n">
        <v>45.31</v>
      </c>
      <c r="H81" t="n">
        <v>0.4531</v>
      </c>
      <c r="I81" t="inlineStr">
        <is>
          <t>core_sp</t>
        </is>
      </c>
      <c r="J81" t="n">
        <v>1</v>
      </c>
      <c r="K81">
        <f>IF(AND(J81&lt;&gt;"", OR(J81=0, J81=1)), IF(ROUND(H81,0)=J81, 1, 0), "")</f>
        <v/>
      </c>
    </row>
    <row r="82">
      <c r="A82" t="n">
        <v>20260126</v>
      </c>
      <c r="B82" t="inlineStr">
        <is>
          <t>2026-04-26</t>
        </is>
      </c>
      <c r="C82" t="inlineStr">
        <is>
          <t>두산</t>
        </is>
      </c>
      <c r="D82" t="inlineStr">
        <is>
          <t>LG</t>
        </is>
      </c>
      <c r="E82" t="n">
        <v>6002</v>
      </c>
      <c r="F82" t="n">
        <v>5002</v>
      </c>
      <c r="G82" t="n">
        <v>61.63</v>
      </c>
      <c r="H82" t="n">
        <v>0.6163</v>
      </c>
      <c r="I82" t="inlineStr">
        <is>
          <t>core_full</t>
        </is>
      </c>
      <c r="J82" t="n">
        <v>1</v>
      </c>
      <c r="K82">
        <f>IF(AND(J82&lt;&gt;"", OR(J82=0, J82=1)), IF(ROUND(H82,0)=J82, 1, 0), "")</f>
        <v/>
      </c>
    </row>
    <row r="83">
      <c r="A83" t="n">
        <v>20260127</v>
      </c>
      <c r="B83" t="inlineStr">
        <is>
          <t>2026-04-26</t>
        </is>
      </c>
      <c r="C83" t="inlineStr">
        <is>
          <t>키움</t>
        </is>
      </c>
      <c r="D83" t="inlineStr">
        <is>
          <t>삼성</t>
        </is>
      </c>
      <c r="E83" t="n">
        <v>10001</v>
      </c>
      <c r="F83" t="n">
        <v>1001</v>
      </c>
      <c r="G83" t="n">
        <v>14.46</v>
      </c>
      <c r="H83" t="n">
        <v>0.1446</v>
      </c>
      <c r="I83" t="inlineStr">
        <is>
          <t>core_full</t>
        </is>
      </c>
      <c r="J83" t="n">
        <v>1</v>
      </c>
      <c r="K83">
        <f>IF(AND(J83&lt;&gt;"", OR(J83=0, J83=1)), IF(ROUND(H83,0)=J83, 1, 0), "")</f>
        <v/>
      </c>
    </row>
    <row r="84">
      <c r="A84" t="n">
        <v>20260128</v>
      </c>
      <c r="B84" t="inlineStr">
        <is>
          <t>2026-04-26</t>
        </is>
      </c>
      <c r="C84" t="inlineStr">
        <is>
          <t>SSG</t>
        </is>
      </c>
      <c r="D84" t="inlineStr">
        <is>
          <t>KT</t>
        </is>
      </c>
      <c r="E84" t="n">
        <v>9002</v>
      </c>
      <c r="F84" t="n">
        <v>12001</v>
      </c>
      <c r="G84" t="n">
        <v>35.13</v>
      </c>
      <c r="H84" t="n">
        <v>0.3513</v>
      </c>
      <c r="I84" t="inlineStr">
        <is>
          <t>core_full</t>
        </is>
      </c>
      <c r="J84" t="n">
        <v>0</v>
      </c>
      <c r="K84">
        <f>IF(AND(J84&lt;&gt;"", OR(J84=0, J84=1)), IF(ROUND(H84,0)=J84, 1, 0), "")</f>
        <v/>
      </c>
    </row>
    <row r="85">
      <c r="A85" t="n">
        <v>20260129</v>
      </c>
      <c r="B85" t="inlineStr">
        <is>
          <t>2026-04-26</t>
        </is>
      </c>
      <c r="C85" t="inlineStr">
        <is>
          <t>한화</t>
        </is>
      </c>
      <c r="D85" t="inlineStr">
        <is>
          <t>NC</t>
        </is>
      </c>
      <c r="E85" t="n">
        <v>7002</v>
      </c>
      <c r="F85" t="n">
        <v>11001</v>
      </c>
      <c r="G85" t="n">
        <v>36.66</v>
      </c>
      <c r="H85" t="n">
        <v>0.3666</v>
      </c>
      <c r="I85" t="inlineStr">
        <is>
          <t>core_full</t>
        </is>
      </c>
      <c r="J85" t="n">
        <v>0</v>
      </c>
      <c r="K85">
        <f>IF(AND(J85&lt;&gt;"", OR(J85=0, J85=1)), IF(ROUND(H85,0)=J85, 1, 0), "")</f>
        <v/>
      </c>
    </row>
    <row r="86">
      <c r="A86" t="n">
        <v>20260130</v>
      </c>
      <c r="B86" t="inlineStr">
        <is>
          <t>2026-04-26</t>
        </is>
      </c>
      <c r="C86" t="inlineStr">
        <is>
          <t>KIA</t>
        </is>
      </c>
      <c r="D86" t="inlineStr">
        <is>
          <t>롯데</t>
        </is>
      </c>
      <c r="E86" t="n">
        <v>2002</v>
      </c>
      <c r="F86" t="n">
        <v>3001</v>
      </c>
      <c r="G86" t="n">
        <v>28.49</v>
      </c>
      <c r="H86" t="n">
        <v>0.2849</v>
      </c>
      <c r="I86" t="inlineStr">
        <is>
          <t>core_full</t>
        </is>
      </c>
      <c r="J86" t="inlineStr">
        <is>
          <t>draw</t>
        </is>
      </c>
      <c r="K86">
        <f>IF(AND(J86&lt;&gt;"", OR(J86=0, J86=1)), IF(ROUND(H86,0)=J86, 1, 0), "")</f>
        <v/>
      </c>
    </row>
    <row r="87">
      <c r="A87" t="n">
        <v>20260131</v>
      </c>
      <c r="B87" t="inlineStr">
        <is>
          <t>2026-04-28</t>
        </is>
      </c>
      <c r="C87" t="inlineStr">
        <is>
          <t>두산</t>
        </is>
      </c>
      <c r="D87" t="inlineStr">
        <is>
          <t>삼성</t>
        </is>
      </c>
      <c r="E87" t="n">
        <v>6002</v>
      </c>
      <c r="F87" t="n">
        <v>1001</v>
      </c>
      <c r="G87" t="n">
        <v>48.05</v>
      </c>
      <c r="H87" t="n">
        <v>0.4805371963158181</v>
      </c>
      <c r="I87" t="inlineStr">
        <is>
          <t>core_full</t>
        </is>
      </c>
      <c r="J87" t="n">
        <v>0</v>
      </c>
      <c r="K87">
        <f>IF(AND(J87&lt;&gt;"", OR(J87=0, J87=1)), IF(ROUND(H87,0)=J87, 1, 0), "")</f>
        <v/>
      </c>
    </row>
    <row r="88">
      <c r="A88" t="n">
        <v>20260132</v>
      </c>
      <c r="B88" t="inlineStr">
        <is>
          <t>2026-04-28</t>
        </is>
      </c>
      <c r="C88" t="inlineStr">
        <is>
          <t>KT</t>
        </is>
      </c>
      <c r="D88" t="inlineStr">
        <is>
          <t>LG</t>
        </is>
      </c>
      <c r="E88" t="n">
        <v>12001</v>
      </c>
      <c r="F88" t="n">
        <v>5002</v>
      </c>
      <c r="G88" t="n">
        <v>31.9</v>
      </c>
      <c r="H88" t="n">
        <v>0.3189570478672066</v>
      </c>
      <c r="I88" t="inlineStr">
        <is>
          <t>core_full</t>
        </is>
      </c>
      <c r="J88" t="n">
        <v>1</v>
      </c>
      <c r="K88">
        <f>IF(AND(J88&lt;&gt;"", OR(J88=0, J88=1)), IF(ROUND(H88,0)=J88, 1, 0), "")</f>
        <v/>
      </c>
    </row>
    <row r="89">
      <c r="A89" t="n">
        <v>20260133</v>
      </c>
      <c r="B89" t="inlineStr">
        <is>
          <t>2026-04-28</t>
        </is>
      </c>
      <c r="C89" t="inlineStr">
        <is>
          <t>한화</t>
        </is>
      </c>
      <c r="D89" t="inlineStr">
        <is>
          <t>SSG</t>
        </is>
      </c>
      <c r="E89" t="n">
        <v>7002</v>
      </c>
      <c r="F89" t="n">
        <v>9002</v>
      </c>
      <c r="G89" t="n">
        <v>51.69</v>
      </c>
      <c r="H89" t="n">
        <v>0.5168613753265812</v>
      </c>
      <c r="I89" t="inlineStr">
        <is>
          <t>core_full</t>
        </is>
      </c>
      <c r="J89" t="n">
        <v>1</v>
      </c>
      <c r="K89">
        <f>IF(AND(J89&lt;&gt;"", OR(J89=0, J89=1)), IF(ROUND(H89,0)=J89, 1, 0), "")</f>
        <v/>
      </c>
    </row>
    <row r="90">
      <c r="A90" t="n">
        <v>20260134</v>
      </c>
      <c r="B90" t="inlineStr">
        <is>
          <t>2026-04-28</t>
        </is>
      </c>
      <c r="C90" t="inlineStr">
        <is>
          <t>롯데</t>
        </is>
      </c>
      <c r="D90" t="inlineStr">
        <is>
          <t>키움</t>
        </is>
      </c>
      <c r="E90" t="n">
        <v>3001</v>
      </c>
      <c r="F90" t="n">
        <v>10001</v>
      </c>
      <c r="G90" t="n">
        <v>41.82</v>
      </c>
      <c r="H90" t="n">
        <v>0.4182328485764429</v>
      </c>
      <c r="I90" t="inlineStr">
        <is>
          <t>core_full</t>
        </is>
      </c>
      <c r="J90" t="n">
        <v>1</v>
      </c>
      <c r="K90">
        <f>IF(AND(J90&lt;&gt;"", OR(J90=0, J90=1)), IF(ROUND(H90,0)=J90, 1, 0), "")</f>
        <v/>
      </c>
    </row>
    <row r="91">
      <c r="A91" t="n">
        <v>20260135</v>
      </c>
      <c r="B91" t="inlineStr">
        <is>
          <t>2026-04-28</t>
        </is>
      </c>
      <c r="C91" t="inlineStr">
        <is>
          <t>NC</t>
        </is>
      </c>
      <c r="D91" t="inlineStr">
        <is>
          <t>KIA</t>
        </is>
      </c>
      <c r="E91" t="n">
        <v>11001</v>
      </c>
      <c r="F91" t="n">
        <v>2002</v>
      </c>
      <c r="G91" t="n">
        <v>33.33</v>
      </c>
      <c r="H91" t="n">
        <v>0.3332772775172348</v>
      </c>
      <c r="I91" t="inlineStr">
        <is>
          <t>core_full</t>
        </is>
      </c>
      <c r="J91" t="n">
        <v>1</v>
      </c>
      <c r="K91">
        <f>IF(AND(J91&lt;&gt;"", OR(J91=0, J91=1)), IF(ROUND(H91,0)=J91, 1, 0), "")</f>
        <v/>
      </c>
    </row>
    <row r="92">
      <c r="A92" t="n">
        <v>20260136</v>
      </c>
      <c r="B92" t="inlineStr">
        <is>
          <t>2026-04-29</t>
        </is>
      </c>
      <c r="C92" t="inlineStr">
        <is>
          <t>두산</t>
        </is>
      </c>
      <c r="D92" t="inlineStr">
        <is>
          <t>삼성</t>
        </is>
      </c>
      <c r="E92" t="n">
        <v>6002</v>
      </c>
      <c r="F92" t="n">
        <v>1001</v>
      </c>
      <c r="G92" t="n">
        <v>55.18</v>
      </c>
      <c r="H92" t="n">
        <v>0.5517783419021589</v>
      </c>
      <c r="I92" t="inlineStr">
        <is>
          <t>core_sp</t>
        </is>
      </c>
      <c r="J92" t="n">
        <v>1</v>
      </c>
      <c r="K92">
        <f>IF(AND(J92&lt;&gt;"", OR(J92=0, J92=1)), IF(ROUND(H92,0)=J92, 1, 0), "")</f>
        <v/>
      </c>
    </row>
    <row r="93">
      <c r="A93" t="n">
        <v>20260137</v>
      </c>
      <c r="B93" t="inlineStr">
        <is>
          <t>2026-04-29</t>
        </is>
      </c>
      <c r="C93" t="inlineStr">
        <is>
          <t>KT</t>
        </is>
      </c>
      <c r="D93" t="inlineStr">
        <is>
          <t>LG</t>
        </is>
      </c>
      <c r="E93" t="n">
        <v>12001</v>
      </c>
      <c r="F93" t="n">
        <v>5002</v>
      </c>
      <c r="G93" t="n">
        <v>63.64</v>
      </c>
      <c r="H93" t="n">
        <v>0.6364005896149976</v>
      </c>
      <c r="I93" t="inlineStr">
        <is>
          <t>core_sp</t>
        </is>
      </c>
      <c r="J93" t="n">
        <v>1</v>
      </c>
      <c r="K93">
        <f>IF(AND(J93&lt;&gt;"", OR(J93=0, J93=1)), IF(ROUND(H93,0)=J93, 1, 0), "")</f>
        <v/>
      </c>
    </row>
    <row r="94">
      <c r="A94" t="n">
        <v>20260138</v>
      </c>
      <c r="B94" t="inlineStr">
        <is>
          <t>2026-04-29</t>
        </is>
      </c>
      <c r="C94" t="inlineStr">
        <is>
          <t>한화</t>
        </is>
      </c>
      <c r="D94" t="inlineStr">
        <is>
          <t>SSG</t>
        </is>
      </c>
      <c r="E94" t="n">
        <v>7002</v>
      </c>
      <c r="F94" t="n">
        <v>9002</v>
      </c>
      <c r="G94" t="n">
        <v>58.4</v>
      </c>
      <c r="H94" t="n">
        <v>0.5840059543753823</v>
      </c>
      <c r="I94" t="inlineStr">
        <is>
          <t>core_sp</t>
        </is>
      </c>
      <c r="J94" t="n">
        <v>0</v>
      </c>
      <c r="K94">
        <f>IF(AND(J94&lt;&gt;"", OR(J94=0, J94=1)), IF(ROUND(H94,0)=J94, 1, 0), "")</f>
        <v/>
      </c>
    </row>
    <row r="95">
      <c r="A95" t="n">
        <v>20260139</v>
      </c>
      <c r="B95" t="inlineStr">
        <is>
          <t>2026-04-29</t>
        </is>
      </c>
      <c r="C95" t="inlineStr">
        <is>
          <t>롯데</t>
        </is>
      </c>
      <c r="D95" t="inlineStr">
        <is>
          <t>키움</t>
        </is>
      </c>
      <c r="E95" t="n">
        <v>3001</v>
      </c>
      <c r="F95" t="n">
        <v>10001</v>
      </c>
      <c r="G95" t="n">
        <v>44.99</v>
      </c>
      <c r="H95" t="n">
        <v>0.4498846605387565</v>
      </c>
      <c r="I95" t="inlineStr">
        <is>
          <t>core_sp</t>
        </is>
      </c>
      <c r="J95" t="n">
        <v>0</v>
      </c>
      <c r="K95">
        <f>IF(AND(J95&lt;&gt;"", OR(J95=0, J95=1)), IF(ROUND(H95,0)=J95, 1, 0), "")</f>
        <v/>
      </c>
    </row>
    <row r="96">
      <c r="A96" t="n">
        <v>20260140</v>
      </c>
      <c r="B96" t="inlineStr">
        <is>
          <t>2026-04-29</t>
        </is>
      </c>
      <c r="C96" t="inlineStr">
        <is>
          <t>NC</t>
        </is>
      </c>
      <c r="D96" t="inlineStr">
        <is>
          <t>KIA</t>
        </is>
      </c>
      <c r="E96" t="n">
        <v>11001</v>
      </c>
      <c r="F96" t="n">
        <v>2002</v>
      </c>
      <c r="G96" t="n">
        <v>66.16</v>
      </c>
      <c r="H96" t="n">
        <v>0.6616164752638154</v>
      </c>
      <c r="I96" t="inlineStr">
        <is>
          <t>core_sp</t>
        </is>
      </c>
      <c r="J96" t="n">
        <v>0</v>
      </c>
      <c r="K96">
        <f>IF(AND(J96&lt;&gt;"", OR(J96=0, J96=1)), IF(ROUND(H96,0)=J96, 1, 0), "")</f>
        <v/>
      </c>
    </row>
    <row r="97">
      <c r="A97" t="n">
        <v>20260141</v>
      </c>
      <c r="B97" t="inlineStr">
        <is>
          <t>2026-04-30</t>
        </is>
      </c>
      <c r="C97" t="inlineStr">
        <is>
          <t>두산</t>
        </is>
      </c>
      <c r="D97" t="inlineStr">
        <is>
          <t>삼성</t>
        </is>
      </c>
      <c r="E97" t="n">
        <v>6002</v>
      </c>
      <c r="F97" t="n">
        <v>1001</v>
      </c>
      <c r="G97" t="n">
        <v>55.79</v>
      </c>
      <c r="H97" t="n">
        <v>0.5578853576763507</v>
      </c>
      <c r="I97" t="inlineStr">
        <is>
          <t>core_sp</t>
        </is>
      </c>
      <c r="J97" t="n">
        <v>1</v>
      </c>
      <c r="K97">
        <f>IF(AND(J97&lt;&gt;"", OR(J97=0, J97=1)), IF(ROUND(H97,0)=J97, 1, 0), "")</f>
        <v/>
      </c>
    </row>
    <row r="98">
      <c r="A98" t="n">
        <v>20260142</v>
      </c>
      <c r="B98" t="inlineStr">
        <is>
          <t>2026-04-30</t>
        </is>
      </c>
      <c r="C98" t="inlineStr">
        <is>
          <t>KT</t>
        </is>
      </c>
      <c r="D98" t="inlineStr">
        <is>
          <t>LG</t>
        </is>
      </c>
      <c r="E98" t="n">
        <v>12001</v>
      </c>
      <c r="F98" t="n">
        <v>5002</v>
      </c>
      <c r="G98" t="n">
        <v>71.19</v>
      </c>
      <c r="H98" t="n">
        <v>0.7119135430725531</v>
      </c>
      <c r="I98" t="inlineStr">
        <is>
          <t>core_sp</t>
        </is>
      </c>
      <c r="J98" t="n">
        <v>0</v>
      </c>
      <c r="K98">
        <f>IF(AND(J98&lt;&gt;"", OR(J98=0, J98=1)), IF(ROUND(H98,0)=J98, 1, 0), "")</f>
        <v/>
      </c>
    </row>
    <row r="99">
      <c r="A99" t="n">
        <v>20260143</v>
      </c>
      <c r="B99" t="inlineStr">
        <is>
          <t>2026-04-30</t>
        </is>
      </c>
      <c r="C99" t="inlineStr">
        <is>
          <t>한화</t>
        </is>
      </c>
      <c r="D99" t="inlineStr">
        <is>
          <t>SSG</t>
        </is>
      </c>
      <c r="E99" t="n">
        <v>7002</v>
      </c>
      <c r="F99" t="n">
        <v>9002</v>
      </c>
      <c r="G99" t="n">
        <v>58.16</v>
      </c>
      <c r="H99" t="n">
        <v>0.5816069541356079</v>
      </c>
      <c r="I99" t="inlineStr">
        <is>
          <t>core_sp</t>
        </is>
      </c>
      <c r="J99" t="n">
        <v>0</v>
      </c>
      <c r="K99">
        <f>IF(AND(J99&lt;&gt;"", OR(J99=0, J99=1)), IF(ROUND(H99,0)=J99, 1, 0), "")</f>
        <v/>
      </c>
    </row>
    <row r="100">
      <c r="A100" t="n">
        <v>20260144</v>
      </c>
      <c r="B100" t="inlineStr">
        <is>
          <t>2026-04-30</t>
        </is>
      </c>
      <c r="C100" t="inlineStr">
        <is>
          <t>롯데</t>
        </is>
      </c>
      <c r="D100" t="inlineStr">
        <is>
          <t>키움</t>
        </is>
      </c>
      <c r="E100" t="n">
        <v>3001</v>
      </c>
      <c r="F100" t="n">
        <v>10001</v>
      </c>
      <c r="G100" t="n">
        <v>52.46</v>
      </c>
      <c r="H100" t="n">
        <v>0.5246337125019768</v>
      </c>
      <c r="I100" t="inlineStr">
        <is>
          <t>core_sp</t>
        </is>
      </c>
      <c r="J100" t="n">
        <v>1</v>
      </c>
      <c r="K100">
        <f>IF(AND(J100&lt;&gt;"", OR(J100=0, J100=1)), IF(ROUND(H100,0)=J100, 1, 0), "")</f>
        <v/>
      </c>
    </row>
    <row r="101">
      <c r="A101" t="n">
        <v>20260145</v>
      </c>
      <c r="B101" t="inlineStr">
        <is>
          <t>2026-04-30</t>
        </is>
      </c>
      <c r="C101" t="inlineStr">
        <is>
          <t>NC</t>
        </is>
      </c>
      <c r="D101" t="inlineStr">
        <is>
          <t>KIA</t>
        </is>
      </c>
      <c r="E101" t="n">
        <v>11001</v>
      </c>
      <c r="F101" t="n">
        <v>2002</v>
      </c>
      <c r="G101" t="n">
        <v>32.03</v>
      </c>
      <c r="H101" t="n">
        <v>0.3202911251751967</v>
      </c>
      <c r="I101" t="inlineStr">
        <is>
          <t>core_sp</t>
        </is>
      </c>
      <c r="J101" t="n">
        <v>1</v>
      </c>
      <c r="K101">
        <f>IF(AND(J101&lt;&gt;"", OR(J101=0, J101=1)), IF(ROUND(H101,0)=J101, 1, 0), "")</f>
        <v/>
      </c>
    </row>
    <row r="102">
      <c r="A102" t="n">
        <v>20260146</v>
      </c>
      <c r="B102" t="inlineStr">
        <is>
          <t>2026-05-01</t>
        </is>
      </c>
      <c r="C102" t="inlineStr">
        <is>
          <t>LG</t>
        </is>
      </c>
      <c r="D102" t="inlineStr">
        <is>
          <t>NC</t>
        </is>
      </c>
      <c r="E102" t="n">
        <v>5002</v>
      </c>
      <c r="F102" t="n">
        <v>11001</v>
      </c>
      <c r="G102" t="n">
        <v>50.46</v>
      </c>
      <c r="H102" t="n">
        <v>0.5046309271313746</v>
      </c>
      <c r="I102" t="inlineStr">
        <is>
          <t>core_sp</t>
        </is>
      </c>
      <c r="J102" t="n">
        <v>1</v>
      </c>
      <c r="K102">
        <f>IF(AND(J102&lt;&gt;"", OR(J102=0, J102=1)), IF(ROUND(H102,0)=J102, 1, 0), "")</f>
        <v/>
      </c>
    </row>
    <row r="103">
      <c r="A103" t="n">
        <v>20260147</v>
      </c>
      <c r="B103" t="inlineStr">
        <is>
          <t>2026-05-01</t>
        </is>
      </c>
      <c r="C103" t="inlineStr">
        <is>
          <t>키움</t>
        </is>
      </c>
      <c r="D103" t="inlineStr">
        <is>
          <t>두산</t>
        </is>
      </c>
      <c r="E103" t="n">
        <v>10001</v>
      </c>
      <c r="F103" t="n">
        <v>6002</v>
      </c>
      <c r="G103" t="n">
        <v>41.32</v>
      </c>
      <c r="H103" t="n">
        <v>0.4131633825686172</v>
      </c>
      <c r="I103" t="inlineStr">
        <is>
          <t>core_sp</t>
        </is>
      </c>
      <c r="J103" t="n">
        <v>0</v>
      </c>
      <c r="K103">
        <f>IF(AND(J103&lt;&gt;"", OR(J103=0, J103=1)), IF(ROUND(H103,0)=J103, 1, 0), "")</f>
        <v/>
      </c>
    </row>
    <row r="104">
      <c r="A104" t="n">
        <v>20260148</v>
      </c>
      <c r="B104" t="inlineStr">
        <is>
          <t>2026-05-01</t>
        </is>
      </c>
      <c r="C104" t="inlineStr">
        <is>
          <t>SSG</t>
        </is>
      </c>
      <c r="D104" t="inlineStr">
        <is>
          <t>롯데</t>
        </is>
      </c>
      <c r="E104" t="n">
        <v>9002</v>
      </c>
      <c r="F104" t="n">
        <v>3001</v>
      </c>
      <c r="G104" t="n">
        <v>38.95</v>
      </c>
      <c r="H104" t="n">
        <v>0.3895130414945705</v>
      </c>
      <c r="I104" t="inlineStr">
        <is>
          <t>core_sp</t>
        </is>
      </c>
      <c r="J104" t="n">
        <v>0</v>
      </c>
      <c r="K104">
        <f>IF(AND(J104&lt;&gt;"", OR(J104=0, J104=1)), IF(ROUND(H104,0)=J104, 1, 0), "")</f>
        <v/>
      </c>
    </row>
    <row r="105">
      <c r="A105" t="n">
        <v>20260149</v>
      </c>
      <c r="B105" t="inlineStr">
        <is>
          <t>2026-05-01</t>
        </is>
      </c>
      <c r="C105" t="inlineStr">
        <is>
          <t>삼성</t>
        </is>
      </c>
      <c r="D105" t="inlineStr">
        <is>
          <t>한화</t>
        </is>
      </c>
      <c r="E105" t="n">
        <v>1001</v>
      </c>
      <c r="F105" t="n">
        <v>7002</v>
      </c>
      <c r="G105" t="n">
        <v>57.52</v>
      </c>
      <c r="H105" t="n">
        <v>0.5752147019564056</v>
      </c>
      <c r="I105" t="inlineStr">
        <is>
          <t>core_sp</t>
        </is>
      </c>
      <c r="J105" t="n">
        <v>1</v>
      </c>
      <c r="K105">
        <f>IF(AND(J105&lt;&gt;"", OR(J105=0, J105=1)), IF(ROUND(H105,0)=J105, 1, 0), "")</f>
        <v/>
      </c>
    </row>
    <row r="106">
      <c r="A106" t="n">
        <v>20260150</v>
      </c>
      <c r="B106" t="inlineStr">
        <is>
          <t>2026-05-01</t>
        </is>
      </c>
      <c r="C106" t="inlineStr">
        <is>
          <t>KIA</t>
        </is>
      </c>
      <c r="D106" t="inlineStr">
        <is>
          <t>KT</t>
        </is>
      </c>
      <c r="E106" t="n">
        <v>2002</v>
      </c>
      <c r="F106" t="n">
        <v>12001</v>
      </c>
      <c r="G106" t="n">
        <v>50.26</v>
      </c>
      <c r="H106" t="n">
        <v>0.5025603248143491</v>
      </c>
      <c r="I106" t="inlineStr">
        <is>
          <t>core_sp</t>
        </is>
      </c>
      <c r="J106" t="n">
        <v>0</v>
      </c>
      <c r="K106">
        <f>IF(AND(J106&lt;&gt;"", OR(J106=0, J106=1)), IF(ROUND(H106,0)=J106, 1, 0), "")</f>
        <v/>
      </c>
    </row>
    <row r="107">
      <c r="A107" t="n">
        <v>20260153</v>
      </c>
      <c r="B107" t="inlineStr">
        <is>
          <t>2026-05-02</t>
        </is>
      </c>
      <c r="C107" t="inlineStr">
        <is>
          <t>SSG</t>
        </is>
      </c>
      <c r="D107" t="inlineStr">
        <is>
          <t>롯데</t>
        </is>
      </c>
      <c r="E107" t="n">
        <v>9002</v>
      </c>
      <c r="F107" t="n">
        <v>3001</v>
      </c>
      <c r="G107" t="n">
        <v>35.93</v>
      </c>
      <c r="H107" t="n">
        <v>0.359263295257383</v>
      </c>
      <c r="I107" t="inlineStr">
        <is>
          <t>core_sp</t>
        </is>
      </c>
      <c r="J107" t="n">
        <v>0</v>
      </c>
      <c r="K107">
        <f>IF(AND(J107&lt;&gt;"", OR(J107=0, J107=1)), IF(ROUND(H107,0)=J107, 1, 0), "")</f>
        <v/>
      </c>
    </row>
    <row r="108">
      <c r="A108" t="n">
        <v>20260151</v>
      </c>
      <c r="B108" t="inlineStr">
        <is>
          <t>2026-05-02</t>
        </is>
      </c>
      <c r="C108" t="inlineStr">
        <is>
          <t>LG</t>
        </is>
      </c>
      <c r="D108" t="inlineStr">
        <is>
          <t>NC</t>
        </is>
      </c>
      <c r="E108" t="n">
        <v>5002</v>
      </c>
      <c r="F108" t="n">
        <v>11001</v>
      </c>
      <c r="G108" t="n">
        <v>69.38</v>
      </c>
      <c r="H108" t="n">
        <v>0.6938160546049293</v>
      </c>
      <c r="I108" t="inlineStr">
        <is>
          <t>core_sp</t>
        </is>
      </c>
      <c r="J108" t="n">
        <v>1</v>
      </c>
      <c r="K108">
        <f>IF(AND(J108&lt;&gt;"", OR(J108=0, J108=1)), IF(ROUND(H108,0)=J108, 1, 0), "")</f>
        <v/>
      </c>
    </row>
    <row r="109">
      <c r="A109" t="n">
        <v>20260152</v>
      </c>
      <c r="B109" t="inlineStr">
        <is>
          <t>2026-05-02</t>
        </is>
      </c>
      <c r="C109" t="inlineStr">
        <is>
          <t>키움</t>
        </is>
      </c>
      <c r="D109" t="inlineStr">
        <is>
          <t>두산</t>
        </is>
      </c>
      <c r="E109" t="n">
        <v>10001</v>
      </c>
      <c r="F109" t="n">
        <v>6002</v>
      </c>
      <c r="G109" t="n">
        <v>51.51</v>
      </c>
      <c r="H109" t="n">
        <v>0.5150539985774428</v>
      </c>
      <c r="I109" t="inlineStr">
        <is>
          <t>core_sp</t>
        </is>
      </c>
      <c r="J109" t="n">
        <v>1</v>
      </c>
      <c r="K109">
        <f>IF(AND(J109&lt;&gt;"", OR(J109=0, J109=1)), IF(ROUND(H109,0)=J109, 1, 0), "")</f>
        <v/>
      </c>
    </row>
    <row r="110">
      <c r="A110" t="n">
        <v>20260154</v>
      </c>
      <c r="B110" t="inlineStr">
        <is>
          <t>2026-05-02</t>
        </is>
      </c>
      <c r="C110" t="inlineStr">
        <is>
          <t>삼성</t>
        </is>
      </c>
      <c r="D110" t="inlineStr">
        <is>
          <t>한화</t>
        </is>
      </c>
      <c r="E110" t="n">
        <v>1001</v>
      </c>
      <c r="F110" t="n">
        <v>7002</v>
      </c>
      <c r="G110" t="n">
        <v>63.57</v>
      </c>
      <c r="H110" t="n">
        <v>0.6356751568209943</v>
      </c>
      <c r="I110" t="inlineStr">
        <is>
          <t>core_sp</t>
        </is>
      </c>
      <c r="J110" t="n">
        <v>0</v>
      </c>
      <c r="K110">
        <f>IF(AND(J110&lt;&gt;"", OR(J110=0, J110=1)), IF(ROUND(H110,0)=J110, 1, 0), "")</f>
        <v/>
      </c>
    </row>
    <row r="111">
      <c r="A111" t="n">
        <v>20260155</v>
      </c>
      <c r="B111" t="inlineStr">
        <is>
          <t>2026-05-02</t>
        </is>
      </c>
      <c r="C111" t="inlineStr">
        <is>
          <t>KIA</t>
        </is>
      </c>
      <c r="D111" t="inlineStr">
        <is>
          <t>KT</t>
        </is>
      </c>
      <c r="E111" t="n">
        <v>2002</v>
      </c>
      <c r="F111" t="n">
        <v>12001</v>
      </c>
      <c r="G111" t="n">
        <v>22.17</v>
      </c>
      <c r="H111" t="n">
        <v>0.2217037159004945</v>
      </c>
      <c r="I111" t="inlineStr">
        <is>
          <t>core_sp</t>
        </is>
      </c>
      <c r="J111" t="n">
        <v>1</v>
      </c>
      <c r="K111">
        <f>IF(AND(J111&lt;&gt;"", OR(J111=0, J111=1)), IF(ROUND(H111,0)=J111, 1, 0), "")</f>
        <v/>
      </c>
    </row>
    <row r="112">
      <c r="A112" t="n">
        <v>20260156</v>
      </c>
      <c r="B112" t="inlineStr">
        <is>
          <t>2026-05-03</t>
        </is>
      </c>
      <c r="C112" t="inlineStr">
        <is>
          <t>LG</t>
        </is>
      </c>
      <c r="D112" t="inlineStr">
        <is>
          <t>NC</t>
        </is>
      </c>
      <c r="E112" t="n">
        <v>5002</v>
      </c>
      <c r="F112" t="n">
        <v>11001</v>
      </c>
      <c r="G112" t="n">
        <v>59.68</v>
      </c>
      <c r="H112" t="n">
        <v>0.5968434701209167</v>
      </c>
      <c r="I112" t="inlineStr">
        <is>
          <t>core_full</t>
        </is>
      </c>
      <c r="J112" t="n">
        <v>0</v>
      </c>
      <c r="K112">
        <f>IF(AND(J112&lt;&gt;"", OR(J112=0, J112=1)), IF(ROUND(H112,0)=J112, 1, 0), "")</f>
        <v/>
      </c>
    </row>
    <row r="113">
      <c r="A113" t="n">
        <v>20260157</v>
      </c>
      <c r="B113" t="inlineStr">
        <is>
          <t>2026-05-03</t>
        </is>
      </c>
      <c r="C113" t="inlineStr">
        <is>
          <t>키움</t>
        </is>
      </c>
      <c r="D113" t="inlineStr">
        <is>
          <t>두산</t>
        </is>
      </c>
      <c r="E113" t="n">
        <v>10001</v>
      </c>
      <c r="F113" t="n">
        <v>6002</v>
      </c>
      <c r="G113" t="n">
        <v>33.7</v>
      </c>
      <c r="H113" t="n">
        <v>0.3369959680937486</v>
      </c>
      <c r="I113" t="inlineStr">
        <is>
          <t>core_full</t>
        </is>
      </c>
      <c r="J113" t="n">
        <v>0</v>
      </c>
      <c r="K113">
        <f>IF(AND(J113&lt;&gt;"", OR(J113=0, J113=1)), IF(ROUND(H113,0)=J113, 1, 0), "")</f>
        <v/>
      </c>
    </row>
    <row r="114">
      <c r="A114" t="n">
        <v>20260158</v>
      </c>
      <c r="B114" t="inlineStr">
        <is>
          <t>2026-05-03</t>
        </is>
      </c>
      <c r="C114" t="inlineStr">
        <is>
          <t>SSG</t>
        </is>
      </c>
      <c r="D114" t="inlineStr">
        <is>
          <t>롯데</t>
        </is>
      </c>
      <c r="E114" t="n">
        <v>9002</v>
      </c>
      <c r="F114" t="n">
        <v>3001</v>
      </c>
      <c r="G114" t="n">
        <v>52.53</v>
      </c>
      <c r="H114" t="n">
        <v>0.5252705269592602</v>
      </c>
      <c r="I114" t="inlineStr">
        <is>
          <t>core_full</t>
        </is>
      </c>
      <c r="J114" t="n">
        <v>0</v>
      </c>
      <c r="K114">
        <f>IF(AND(J114&lt;&gt;"", OR(J114=0, J114=1)), IF(ROUND(H114,0)=J114, 1, 0), "")</f>
        <v/>
      </c>
    </row>
    <row r="115">
      <c r="A115" t="n">
        <v>20260159</v>
      </c>
      <c r="B115" t="inlineStr">
        <is>
          <t>2026-05-03</t>
        </is>
      </c>
      <c r="C115" t="inlineStr">
        <is>
          <t>삼성</t>
        </is>
      </c>
      <c r="D115" t="inlineStr">
        <is>
          <t>한화</t>
        </is>
      </c>
      <c r="E115" t="n">
        <v>1001</v>
      </c>
      <c r="F115" t="n">
        <v>7002</v>
      </c>
      <c r="G115" t="n">
        <v>67.58</v>
      </c>
      <c r="H115" t="n">
        <v>0.6758323792512235</v>
      </c>
      <c r="I115" t="inlineStr">
        <is>
          <t>core_full</t>
        </is>
      </c>
      <c r="J115" t="n">
        <v>1</v>
      </c>
      <c r="K115">
        <f>IF(AND(J115&lt;&gt;"", OR(J115=0, J115=1)), IF(ROUND(H115,0)=J115, 1, 0), "")</f>
        <v/>
      </c>
    </row>
    <row r="116">
      <c r="A116" t="n">
        <v>20260160</v>
      </c>
      <c r="B116" t="inlineStr">
        <is>
          <t>2026-05-03</t>
        </is>
      </c>
      <c r="C116" t="inlineStr">
        <is>
          <t>KIA</t>
        </is>
      </c>
      <c r="D116" t="inlineStr">
        <is>
          <t>KT</t>
        </is>
      </c>
      <c r="E116" t="n">
        <v>2002</v>
      </c>
      <c r="F116" t="n">
        <v>12001</v>
      </c>
      <c r="G116" t="n">
        <v>60.45</v>
      </c>
      <c r="H116" t="n">
        <v>0.6044646686812145</v>
      </c>
      <c r="I116" t="inlineStr">
        <is>
          <t>core_full</t>
        </is>
      </c>
      <c r="J116" t="n">
        <v>0</v>
      </c>
      <c r="K116">
        <f>IF(AND(J116&lt;&gt;"", OR(J116=0, J116=1)), IF(ROUND(H116,0)=J116, 1, 0), "")</f>
        <v/>
      </c>
    </row>
    <row r="117">
      <c r="A117" t="n">
        <v>20260161</v>
      </c>
      <c r="B117" t="inlineStr">
        <is>
          <t>2026-05-05</t>
        </is>
      </c>
      <c r="C117" t="inlineStr">
        <is>
          <t>LG</t>
        </is>
      </c>
      <c r="D117" t="inlineStr">
        <is>
          <t>두산</t>
        </is>
      </c>
      <c r="E117" t="n">
        <v>5002</v>
      </c>
      <c r="F117" t="n">
        <v>6002</v>
      </c>
      <c r="G117" t="n">
        <v>55.57</v>
      </c>
      <c r="H117" t="n">
        <v>0.5556770728198975</v>
      </c>
      <c r="I117" t="inlineStr">
        <is>
          <t>core_sp</t>
        </is>
      </c>
      <c r="J117" t="n">
        <v>1</v>
      </c>
      <c r="K117">
        <f>IF(AND(J117&lt;&gt;"", OR(J117=0, J117=1)), IF(ROUND(H117,0)=J117, 1, 0), "")</f>
        <v/>
      </c>
    </row>
    <row r="118">
      <c r="A118" t="n">
        <v>20260162</v>
      </c>
      <c r="B118" t="inlineStr">
        <is>
          <t>2026-05-05</t>
        </is>
      </c>
      <c r="C118" t="inlineStr">
        <is>
          <t>SSG</t>
        </is>
      </c>
      <c r="D118" t="inlineStr">
        <is>
          <t>NC</t>
        </is>
      </c>
      <c r="E118" t="n">
        <v>9002</v>
      </c>
      <c r="F118" t="n">
        <v>11001</v>
      </c>
      <c r="G118" t="n">
        <v>84.28</v>
      </c>
      <c r="H118" t="n">
        <v>0.8427921168566392</v>
      </c>
      <c r="I118" t="inlineStr">
        <is>
          <t>core_sp</t>
        </is>
      </c>
      <c r="J118" t="inlineStr">
        <is>
          <t>draw</t>
        </is>
      </c>
      <c r="K118">
        <f>IF(AND(J118&lt;&gt;"", OR(J118=0, J118=1)), IF(ROUND(H118,0)=J118, 1, 0), "")</f>
        <v/>
      </c>
    </row>
    <row r="119">
      <c r="A119" t="n">
        <v>20260163</v>
      </c>
      <c r="B119" t="inlineStr">
        <is>
          <t>2026-05-05</t>
        </is>
      </c>
      <c r="C119" t="inlineStr">
        <is>
          <t>KT</t>
        </is>
      </c>
      <c r="D119" t="inlineStr">
        <is>
          <t>롯데</t>
        </is>
      </c>
      <c r="E119" t="n">
        <v>12001</v>
      </c>
      <c r="F119" t="n">
        <v>3001</v>
      </c>
      <c r="G119" t="n">
        <v>49.71</v>
      </c>
      <c r="H119" t="n">
        <v>0.4970715435409234</v>
      </c>
      <c r="I119" t="inlineStr">
        <is>
          <t>core_sp</t>
        </is>
      </c>
      <c r="J119" t="n">
        <v>1</v>
      </c>
      <c r="K119">
        <f>IF(AND(J119&lt;&gt;"", OR(J119=0, J119=1)), IF(ROUND(H119,0)=J119, 1, 0), "")</f>
        <v/>
      </c>
    </row>
    <row r="120">
      <c r="A120" t="n">
        <v>20260164</v>
      </c>
      <c r="B120" t="inlineStr">
        <is>
          <t>2026-05-05</t>
        </is>
      </c>
      <c r="C120" t="inlineStr">
        <is>
          <t>삼성</t>
        </is>
      </c>
      <c r="D120" t="inlineStr">
        <is>
          <t>키움</t>
        </is>
      </c>
      <c r="E120" t="n">
        <v>1001</v>
      </c>
      <c r="F120" t="n">
        <v>10001</v>
      </c>
      <c r="G120" t="n">
        <v>44.89</v>
      </c>
      <c r="H120" t="n">
        <v>0.4488749852211815</v>
      </c>
      <c r="I120" t="inlineStr">
        <is>
          <t>core_sp</t>
        </is>
      </c>
      <c r="J120" t="n">
        <v>1</v>
      </c>
      <c r="K120">
        <f>IF(AND(J120&lt;&gt;"", OR(J120=0, J120=1)), IF(ROUND(H120,0)=J120, 1, 0), "")</f>
        <v/>
      </c>
    </row>
    <row r="121">
      <c r="A121" t="n">
        <v>20260165</v>
      </c>
      <c r="B121" t="inlineStr">
        <is>
          <t>2026-05-05</t>
        </is>
      </c>
      <c r="C121" t="inlineStr">
        <is>
          <t>KIA</t>
        </is>
      </c>
      <c r="D121" t="inlineStr">
        <is>
          <t>한화</t>
        </is>
      </c>
      <c r="E121" t="n">
        <v>2002</v>
      </c>
      <c r="F121" t="n">
        <v>7002</v>
      </c>
      <c r="G121" t="n">
        <v>49.57</v>
      </c>
      <c r="H121" t="n">
        <v>0.495687043223474</v>
      </c>
      <c r="I121" t="inlineStr">
        <is>
          <t>core_sp</t>
        </is>
      </c>
      <c r="J121" t="n">
        <v>1</v>
      </c>
      <c r="K121">
        <f>IF(AND(J121&lt;&gt;"", OR(J121=0, J121=1)), IF(ROUND(H121,0)=J121, 1, 0), "")</f>
        <v/>
      </c>
    </row>
    <row r="122">
      <c r="A122" t="n">
        <v>20260166</v>
      </c>
      <c r="B122" t="inlineStr">
        <is>
          <t>2026-05-06</t>
        </is>
      </c>
      <c r="C122" t="inlineStr">
        <is>
          <t>LG</t>
        </is>
      </c>
      <c r="D122" t="inlineStr">
        <is>
          <t>두산</t>
        </is>
      </c>
      <c r="E122" t="n">
        <v>5002</v>
      </c>
      <c r="F122" t="n">
        <v>6002</v>
      </c>
      <c r="G122" t="n">
        <v>35.16</v>
      </c>
      <c r="H122" t="n">
        <v>0.3515808439856245</v>
      </c>
      <c r="I122" t="inlineStr">
        <is>
          <t>core_full</t>
        </is>
      </c>
      <c r="J122" t="n">
        <v>1</v>
      </c>
      <c r="K122">
        <f>IF(AND(J122&lt;&gt;"", OR(J122=0, J122=1)), IF(ROUND(H122,0)=J122, 1, 0), "")</f>
        <v/>
      </c>
    </row>
    <row r="123">
      <c r="A123" t="n">
        <v>20260167</v>
      </c>
      <c r="B123" t="inlineStr">
        <is>
          <t>2026-05-06</t>
        </is>
      </c>
      <c r="C123" t="inlineStr">
        <is>
          <t>SSG</t>
        </is>
      </c>
      <c r="D123" t="inlineStr">
        <is>
          <t>NC</t>
        </is>
      </c>
      <c r="E123" t="n">
        <v>9002</v>
      </c>
      <c r="F123" t="n">
        <v>11001</v>
      </c>
      <c r="G123" t="n">
        <v>42.66</v>
      </c>
      <c r="H123" t="n">
        <v>0.4266464856703586</v>
      </c>
      <c r="I123" t="inlineStr">
        <is>
          <t>core_full</t>
        </is>
      </c>
      <c r="J123" t="n">
        <v>1</v>
      </c>
      <c r="K123">
        <f>IF(AND(J123&lt;&gt;"", OR(J123=0, J123=1)), IF(ROUND(H123,0)=J123, 1, 0), "")</f>
        <v/>
      </c>
    </row>
    <row r="124">
      <c r="A124" t="n">
        <v>20260168</v>
      </c>
      <c r="B124" t="inlineStr">
        <is>
          <t>2026-05-06</t>
        </is>
      </c>
      <c r="C124" t="inlineStr">
        <is>
          <t>KT</t>
        </is>
      </c>
      <c r="D124" t="inlineStr">
        <is>
          <t>롯데</t>
        </is>
      </c>
      <c r="E124" t="n">
        <v>12001</v>
      </c>
      <c r="F124" t="n">
        <v>3001</v>
      </c>
      <c r="G124" t="n">
        <v>46.81</v>
      </c>
      <c r="H124" t="n">
        <v>0.4680945058598358</v>
      </c>
      <c r="I124" t="inlineStr">
        <is>
          <t>core_full</t>
        </is>
      </c>
      <c r="J124" t="n">
        <v>0</v>
      </c>
      <c r="K124">
        <f>IF(AND(J124&lt;&gt;"", OR(J124=0, J124=1)), IF(ROUND(H124,0)=J124, 1, 0), "")</f>
        <v/>
      </c>
    </row>
    <row r="125">
      <c r="A125" t="n">
        <v>20260169</v>
      </c>
      <c r="B125" t="inlineStr">
        <is>
          <t>2026-05-06</t>
        </is>
      </c>
      <c r="C125" t="inlineStr">
        <is>
          <t>삼성</t>
        </is>
      </c>
      <c r="D125" t="inlineStr">
        <is>
          <t>키움</t>
        </is>
      </c>
      <c r="E125" t="n">
        <v>1001</v>
      </c>
      <c r="F125" t="n">
        <v>10001</v>
      </c>
      <c r="G125" t="n">
        <v>69.25</v>
      </c>
      <c r="H125" t="n">
        <v>0.692535750200136</v>
      </c>
      <c r="I125" t="inlineStr">
        <is>
          <t>core_full</t>
        </is>
      </c>
      <c r="J125" t="n">
        <v>1</v>
      </c>
      <c r="K125">
        <f>IF(AND(J125&lt;&gt;"", OR(J125=0, J125=1)), IF(ROUND(H125,0)=J125, 1, 0), "")</f>
        <v/>
      </c>
    </row>
    <row r="126">
      <c r="A126" t="n">
        <v>20260170</v>
      </c>
      <c r="B126" t="inlineStr">
        <is>
          <t>2026-05-06</t>
        </is>
      </c>
      <c r="C126" t="inlineStr">
        <is>
          <t>KIA</t>
        </is>
      </c>
      <c r="D126" t="inlineStr">
        <is>
          <t>한화</t>
        </is>
      </c>
      <c r="E126" t="n">
        <v>2002</v>
      </c>
      <c r="F126" t="n">
        <v>7002</v>
      </c>
      <c r="G126" t="n">
        <v>62.97</v>
      </c>
      <c r="H126" t="n">
        <v>0.629663160063168</v>
      </c>
      <c r="I126" t="inlineStr">
        <is>
          <t>core_full</t>
        </is>
      </c>
      <c r="J126" t="n">
        <v>0</v>
      </c>
      <c r="K126">
        <f>IF(AND(J126&lt;&gt;"", OR(J126=0, J126=1)), IF(ROUND(H126,0)=J126, 1, 0), "")</f>
        <v/>
      </c>
    </row>
    <row r="127">
      <c r="A127" t="n">
        <v>20260171</v>
      </c>
      <c r="B127" t="inlineStr">
        <is>
          <t>2026-05-07</t>
        </is>
      </c>
      <c r="C127" t="inlineStr">
        <is>
          <t>LG</t>
        </is>
      </c>
      <c r="D127" t="inlineStr">
        <is>
          <t>두산</t>
        </is>
      </c>
      <c r="E127" t="n">
        <v>5002</v>
      </c>
      <c r="F127" t="n">
        <v>6002</v>
      </c>
      <c r="G127" t="n">
        <v>37.05</v>
      </c>
      <c r="H127" t="n">
        <v>0.3704584926128489</v>
      </c>
      <c r="I127" t="inlineStr">
        <is>
          <t>core_full</t>
        </is>
      </c>
      <c r="J127" t="n">
        <v>0</v>
      </c>
      <c r="K127">
        <f>IF(AND(J127&lt;&gt;"", OR(J127=0, J127=1)), IF(ROUND(H127,0)=J127, 1, 0), "")</f>
        <v/>
      </c>
    </row>
    <row r="128">
      <c r="A128" t="n">
        <v>20260172</v>
      </c>
      <c r="B128" t="inlineStr">
        <is>
          <t>2026-05-07</t>
        </is>
      </c>
      <c r="C128" t="inlineStr">
        <is>
          <t>SSG</t>
        </is>
      </c>
      <c r="D128" t="inlineStr">
        <is>
          <t>NC</t>
        </is>
      </c>
      <c r="E128" t="n">
        <v>9002</v>
      </c>
      <c r="F128" t="n">
        <v>11001</v>
      </c>
      <c r="G128" t="n">
        <v>39.91</v>
      </c>
      <c r="H128" t="n">
        <v>0.3990798366473759</v>
      </c>
      <c r="I128" t="inlineStr">
        <is>
          <t>core_full</t>
        </is>
      </c>
      <c r="J128" t="n">
        <v>0</v>
      </c>
      <c r="K128">
        <f>IF(AND(J128&lt;&gt;"", OR(J128=0, J128=1)), IF(ROUND(H128,0)=J128, 1, 0), "")</f>
        <v/>
      </c>
    </row>
    <row r="129">
      <c r="A129" t="n">
        <v>20260173</v>
      </c>
      <c r="B129" t="inlineStr">
        <is>
          <t>2026-05-07</t>
        </is>
      </c>
      <c r="C129" t="inlineStr">
        <is>
          <t>KT</t>
        </is>
      </c>
      <c r="D129" t="inlineStr">
        <is>
          <t>롯데</t>
        </is>
      </c>
      <c r="E129" t="n">
        <v>12001</v>
      </c>
      <c r="F129" t="n">
        <v>3001</v>
      </c>
      <c r="G129" t="n">
        <v>56.92</v>
      </c>
      <c r="H129" t="n">
        <v>0.5692235789036996</v>
      </c>
      <c r="I129" t="inlineStr">
        <is>
          <t>core_sp</t>
        </is>
      </c>
      <c r="J129" t="inlineStr">
        <is>
          <t>cancel</t>
        </is>
      </c>
      <c r="K129">
        <f>IF(AND(J129&lt;&gt;"", OR(J129=0, J129=1)), IF(ROUND(H129,0)=J129, 1, 0), "")</f>
        <v/>
      </c>
    </row>
    <row r="130">
      <c r="A130" t="n">
        <v>20260174</v>
      </c>
      <c r="B130" t="inlineStr">
        <is>
          <t>2026-05-07</t>
        </is>
      </c>
      <c r="C130" t="inlineStr">
        <is>
          <t>삼성</t>
        </is>
      </c>
      <c r="D130" t="inlineStr">
        <is>
          <t>키움</t>
        </is>
      </c>
      <c r="E130" t="n">
        <v>1001</v>
      </c>
      <c r="F130" t="n">
        <v>10001</v>
      </c>
      <c r="G130" t="n">
        <v>80.86</v>
      </c>
      <c r="H130" t="n">
        <v>0.8086293654904804</v>
      </c>
      <c r="I130" t="inlineStr">
        <is>
          <t>core_full</t>
        </is>
      </c>
      <c r="J130" t="n">
        <v>1</v>
      </c>
      <c r="K130">
        <f>IF(AND(J130&lt;&gt;"", OR(J130=0, J130=1)), IF(ROUND(H130,0)=J130, 1, 0), "")</f>
        <v/>
      </c>
    </row>
    <row r="131">
      <c r="A131" t="n">
        <v>20260175</v>
      </c>
      <c r="B131" t="inlineStr">
        <is>
          <t>2026-05-07</t>
        </is>
      </c>
      <c r="C131" t="inlineStr">
        <is>
          <t>KIA</t>
        </is>
      </c>
      <c r="D131" t="inlineStr">
        <is>
          <t>한화</t>
        </is>
      </c>
      <c r="E131" t="n">
        <v>2002</v>
      </c>
      <c r="F131" t="n">
        <v>7002</v>
      </c>
      <c r="G131" t="n">
        <v>49.78</v>
      </c>
      <c r="H131" t="n">
        <v>0.4978379074402617</v>
      </c>
      <c r="I131" t="inlineStr">
        <is>
          <t>core_full</t>
        </is>
      </c>
      <c r="J131" t="n">
        <v>0</v>
      </c>
      <c r="K131">
        <f>IF(AND(J131&lt;&gt;"", OR(J131=0, J131=1)), IF(ROUND(H131,0)=J131, 1, 0), "")</f>
        <v/>
      </c>
    </row>
    <row r="132">
      <c r="A132" t="n">
        <v>20260176</v>
      </c>
      <c r="B132" t="inlineStr">
        <is>
          <t>2026-05-08</t>
        </is>
      </c>
      <c r="C132" t="inlineStr">
        <is>
          <t>두산</t>
        </is>
      </c>
      <c r="D132" t="inlineStr">
        <is>
          <t>SSG</t>
        </is>
      </c>
      <c r="E132" t="n">
        <v>6002</v>
      </c>
      <c r="F132" t="n">
        <v>9002</v>
      </c>
      <c r="G132" t="n">
        <v>63.78</v>
      </c>
      <c r="H132" t="n">
        <v>0.6377992425958298</v>
      </c>
      <c r="I132" t="inlineStr">
        <is>
          <t>core_full</t>
        </is>
      </c>
      <c r="J132" t="n">
        <v>0</v>
      </c>
      <c r="K132">
        <f>IF(AND(J132&lt;&gt;"", OR(J132=0, J132=1)), IF(ROUND(H132,0)=J132, 1, 0), "")</f>
        <v/>
      </c>
    </row>
    <row r="133">
      <c r="A133" t="n">
        <v>20260177</v>
      </c>
      <c r="B133" t="inlineStr">
        <is>
          <t>2026-05-08</t>
        </is>
      </c>
      <c r="C133" t="inlineStr">
        <is>
          <t>키움</t>
        </is>
      </c>
      <c r="D133" t="inlineStr">
        <is>
          <t>KT</t>
        </is>
      </c>
      <c r="E133" t="n">
        <v>10001</v>
      </c>
      <c r="F133" t="n">
        <v>12001</v>
      </c>
      <c r="G133" t="n">
        <v>58.9</v>
      </c>
      <c r="H133" t="n">
        <v>0.5890249888776217</v>
      </c>
      <c r="I133" t="inlineStr">
        <is>
          <t>core_full</t>
        </is>
      </c>
      <c r="J133" t="n">
        <v>0</v>
      </c>
      <c r="K133">
        <f>IF(AND(J133&lt;&gt;"", OR(J133=0, J133=1)), IF(ROUND(H133,0)=J133, 1, 0), "")</f>
        <v/>
      </c>
    </row>
    <row r="134">
      <c r="A134" t="n">
        <v>20260178</v>
      </c>
      <c r="B134" t="inlineStr">
        <is>
          <t>2026-05-08</t>
        </is>
      </c>
      <c r="C134" t="inlineStr">
        <is>
          <t>한화</t>
        </is>
      </c>
      <c r="D134" t="inlineStr">
        <is>
          <t>LG</t>
        </is>
      </c>
      <c r="E134" t="n">
        <v>7002</v>
      </c>
      <c r="F134" t="n">
        <v>5002</v>
      </c>
      <c r="G134" t="n">
        <v>48.08</v>
      </c>
      <c r="H134" t="n">
        <v>0.4808059722377918</v>
      </c>
      <c r="I134" t="inlineStr">
        <is>
          <t>core_full</t>
        </is>
      </c>
      <c r="J134" t="n">
        <v>0</v>
      </c>
      <c r="K134">
        <f>IF(AND(J134&lt;&gt;"", OR(J134=0, J134=1)), IF(ROUND(H134,0)=J134, 1, 0), "")</f>
        <v/>
      </c>
    </row>
    <row r="135">
      <c r="A135" t="n">
        <v>20260179</v>
      </c>
      <c r="B135" t="inlineStr">
        <is>
          <t>2026-05-08</t>
        </is>
      </c>
      <c r="C135" t="inlineStr">
        <is>
          <t>롯데</t>
        </is>
      </c>
      <c r="D135" t="inlineStr">
        <is>
          <t>KIA</t>
        </is>
      </c>
      <c r="E135" t="n">
        <v>3001</v>
      </c>
      <c r="F135" t="n">
        <v>2002</v>
      </c>
      <c r="G135" t="n">
        <v>54.6</v>
      </c>
      <c r="H135" t="n">
        <v>0.5459514557994651</v>
      </c>
      <c r="I135" t="inlineStr">
        <is>
          <t>core_full</t>
        </is>
      </c>
      <c r="J135" t="n">
        <v>0</v>
      </c>
      <c r="K135">
        <f>IF(AND(J135&lt;&gt;"", OR(J135=0, J135=1)), IF(ROUND(H135,0)=J135, 1, 0), "")</f>
        <v/>
      </c>
    </row>
    <row r="136">
      <c r="A136" t="n">
        <v>20260180</v>
      </c>
      <c r="B136" t="inlineStr">
        <is>
          <t>2026-05-08</t>
        </is>
      </c>
      <c r="C136" t="inlineStr">
        <is>
          <t>NC</t>
        </is>
      </c>
      <c r="D136" t="inlineStr">
        <is>
          <t>삼성</t>
        </is>
      </c>
      <c r="E136" t="n">
        <v>11001</v>
      </c>
      <c r="F136" t="n">
        <v>1001</v>
      </c>
      <c r="G136" t="n">
        <v>12.49</v>
      </c>
      <c r="H136" t="n">
        <v>0.1248703257666177</v>
      </c>
      <c r="I136" t="inlineStr">
        <is>
          <t>core_full</t>
        </is>
      </c>
      <c r="J136" t="n">
        <v>0</v>
      </c>
      <c r="K136">
        <f>IF(AND(J136&lt;&gt;"", OR(J136=0, J136=1)), IF(ROUND(H136,0)=J136, 1, 0), "")</f>
        <v/>
      </c>
    </row>
    <row r="137">
      <c r="A137" t="n">
        <v>20260183</v>
      </c>
      <c r="B137" t="inlineStr">
        <is>
          <t>2026-05-09</t>
        </is>
      </c>
      <c r="C137" t="inlineStr">
        <is>
          <t>한화</t>
        </is>
      </c>
      <c r="D137" t="inlineStr">
        <is>
          <t>LG</t>
        </is>
      </c>
      <c r="E137" t="n">
        <v>7002</v>
      </c>
      <c r="F137" t="n">
        <v>5002</v>
      </c>
      <c r="G137" t="n">
        <v>57.31</v>
      </c>
      <c r="H137" t="n">
        <v>0.5730774157812031</v>
      </c>
      <c r="I137" t="inlineStr">
        <is>
          <t>core_sp</t>
        </is>
      </c>
      <c r="J137" t="n">
        <v>1</v>
      </c>
      <c r="K137">
        <f>IF(AND(J137&lt;&gt;"", OR(J137=0, J137=1)), IF(ROUND(H137,0)=J137, 1, 0), "")</f>
        <v/>
      </c>
    </row>
    <row r="138">
      <c r="A138" t="n">
        <v>20260181</v>
      </c>
      <c r="B138" t="inlineStr">
        <is>
          <t>2026-05-09</t>
        </is>
      </c>
      <c r="C138" t="inlineStr">
        <is>
          <t>두산</t>
        </is>
      </c>
      <c r="D138" t="inlineStr">
        <is>
          <t>SSG</t>
        </is>
      </c>
      <c r="E138" t="n">
        <v>6002</v>
      </c>
      <c r="F138" t="n">
        <v>9002</v>
      </c>
      <c r="G138" t="n">
        <v>74.76000000000001</v>
      </c>
      <c r="H138" t="n">
        <v>0.7475767287770502</v>
      </c>
      <c r="I138" t="inlineStr">
        <is>
          <t>core_sp</t>
        </is>
      </c>
      <c r="J138" t="n">
        <v>1</v>
      </c>
      <c r="K138">
        <f>IF(AND(J138&lt;&gt;"", OR(J138=0, J138=1)), IF(ROUND(H138,0)=J138, 1, 0), "")</f>
        <v/>
      </c>
    </row>
    <row r="139">
      <c r="A139" t="n">
        <v>20260182</v>
      </c>
      <c r="B139" t="inlineStr">
        <is>
          <t>2026-05-09</t>
        </is>
      </c>
      <c r="C139" t="inlineStr">
        <is>
          <t>키움</t>
        </is>
      </c>
      <c r="D139" t="inlineStr">
        <is>
          <t>KT</t>
        </is>
      </c>
      <c r="E139" t="n">
        <v>10001</v>
      </c>
      <c r="F139" t="n">
        <v>12001</v>
      </c>
      <c r="G139" t="n">
        <v>44.53</v>
      </c>
      <c r="H139" t="n">
        <v>0.4452695564889879</v>
      </c>
      <c r="I139" t="inlineStr">
        <is>
          <t>core_sp</t>
        </is>
      </c>
      <c r="J139" t="inlineStr">
        <is>
          <t>draw</t>
        </is>
      </c>
      <c r="K139">
        <f>IF(AND(J139&lt;&gt;"", OR(J139=0, J139=1)), IF(ROUND(H139,0)=J139, 1, 0), "")</f>
        <v/>
      </c>
    </row>
    <row r="140">
      <c r="A140" t="n">
        <v>20260184</v>
      </c>
      <c r="B140" t="inlineStr">
        <is>
          <t>2026-05-09</t>
        </is>
      </c>
      <c r="C140" t="inlineStr">
        <is>
          <t>롯데</t>
        </is>
      </c>
      <c r="D140" t="inlineStr">
        <is>
          <t>KIA</t>
        </is>
      </c>
      <c r="E140" t="n">
        <v>3001</v>
      </c>
      <c r="F140" t="n">
        <v>2002</v>
      </c>
      <c r="G140" t="n">
        <v>68.41</v>
      </c>
      <c r="H140" t="n">
        <v>0.6841356129297628</v>
      </c>
      <c r="I140" t="inlineStr">
        <is>
          <t>core_sp</t>
        </is>
      </c>
      <c r="J140" t="n">
        <v>0</v>
      </c>
      <c r="K140">
        <f>IF(AND(J140&lt;&gt;"", OR(J140=0, J140=1)), IF(ROUND(H140,0)=J140, 1, 0), "")</f>
        <v/>
      </c>
    </row>
    <row r="141">
      <c r="A141" t="n">
        <v>20260185</v>
      </c>
      <c r="B141" t="inlineStr">
        <is>
          <t>2026-05-09</t>
        </is>
      </c>
      <c r="C141" t="inlineStr">
        <is>
          <t>NC</t>
        </is>
      </c>
      <c r="D141" t="inlineStr">
        <is>
          <t>삼성</t>
        </is>
      </c>
      <c r="E141" t="n">
        <v>11001</v>
      </c>
      <c r="F141" t="n">
        <v>1001</v>
      </c>
      <c r="G141" t="n">
        <v>29.31</v>
      </c>
      <c r="H141" t="n">
        <v>0.2930659056459851</v>
      </c>
      <c r="I141" t="inlineStr">
        <is>
          <t>core_sp</t>
        </is>
      </c>
      <c r="J141" t="n">
        <v>0</v>
      </c>
      <c r="K141">
        <f>IF(AND(J141&lt;&gt;"", OR(J141=0, J141=1)), IF(ROUND(H141,0)=J141, 1, 0), "")</f>
        <v/>
      </c>
    </row>
    <row r="142">
      <c r="A142" t="n">
        <v>20260186</v>
      </c>
      <c r="B142" t="inlineStr">
        <is>
          <t>2026-05-10</t>
        </is>
      </c>
      <c r="C142" t="inlineStr">
        <is>
          <t>두산</t>
        </is>
      </c>
      <c r="D142" t="inlineStr">
        <is>
          <t>SSG</t>
        </is>
      </c>
      <c r="E142" t="n">
        <v>6002</v>
      </c>
      <c r="F142" t="n">
        <v>9002</v>
      </c>
      <c r="G142" t="n">
        <v>61.8</v>
      </c>
      <c r="H142" t="n">
        <v>0.6180274879088768</v>
      </c>
      <c r="I142" t="inlineStr">
        <is>
          <t>core_full</t>
        </is>
      </c>
      <c r="J142" t="n">
        <v>1</v>
      </c>
      <c r="K142">
        <f>IF(AND(J142&lt;&gt;"", OR(J142=0, J142=1)), IF(ROUND(H142,0)=J142, 1, 0), "")</f>
        <v/>
      </c>
    </row>
    <row r="143">
      <c r="A143" t="n">
        <v>20260187</v>
      </c>
      <c r="B143" t="inlineStr">
        <is>
          <t>2026-05-10</t>
        </is>
      </c>
      <c r="C143" t="inlineStr">
        <is>
          <t>키움</t>
        </is>
      </c>
      <c r="D143" t="inlineStr">
        <is>
          <t>KT</t>
        </is>
      </c>
      <c r="E143" t="n">
        <v>10001</v>
      </c>
      <c r="F143" t="n">
        <v>12001</v>
      </c>
      <c r="G143" t="n">
        <v>26.63</v>
      </c>
      <c r="H143" t="n">
        <v>0.2662736548573697</v>
      </c>
      <c r="I143" t="inlineStr">
        <is>
          <t>core_full</t>
        </is>
      </c>
      <c r="J143" t="n">
        <v>1</v>
      </c>
      <c r="K143">
        <f>IF(AND(J143&lt;&gt;"", OR(J143=0, J143=1)), IF(ROUND(H143,0)=J143, 1, 0), "")</f>
        <v/>
      </c>
    </row>
    <row r="144">
      <c r="A144" t="n">
        <v>20260188</v>
      </c>
      <c r="B144" t="inlineStr">
        <is>
          <t>2026-05-10</t>
        </is>
      </c>
      <c r="C144" t="inlineStr">
        <is>
          <t>한화</t>
        </is>
      </c>
      <c r="D144" t="inlineStr">
        <is>
          <t>LG</t>
        </is>
      </c>
      <c r="E144" t="n">
        <v>7002</v>
      </c>
      <c r="F144" t="n">
        <v>5002</v>
      </c>
      <c r="G144" t="n">
        <v>38.69</v>
      </c>
      <c r="H144" t="n">
        <v>0.3868930022625142</v>
      </c>
      <c r="I144" t="inlineStr">
        <is>
          <t>core_full</t>
        </is>
      </c>
      <c r="J144" t="n">
        <v>1</v>
      </c>
      <c r="K144">
        <f>IF(AND(J144&lt;&gt;"", OR(J144=0, J144=1)), IF(ROUND(H144,0)=J144, 1, 0), "")</f>
        <v/>
      </c>
    </row>
    <row r="145">
      <c r="A145" t="n">
        <v>20260189</v>
      </c>
      <c r="B145" t="inlineStr">
        <is>
          <t>2026-05-10</t>
        </is>
      </c>
      <c r="C145" t="inlineStr">
        <is>
          <t>롯데</t>
        </is>
      </c>
      <c r="D145" t="inlineStr">
        <is>
          <t>KIA</t>
        </is>
      </c>
      <c r="E145" t="n">
        <v>3001</v>
      </c>
      <c r="F145" t="n">
        <v>2002</v>
      </c>
      <c r="G145" t="n">
        <v>54.02</v>
      </c>
      <c r="H145" t="n">
        <v>0.5402259102607809</v>
      </c>
      <c r="I145" t="inlineStr">
        <is>
          <t>core_full</t>
        </is>
      </c>
      <c r="J145" t="n">
        <v>1</v>
      </c>
      <c r="K145">
        <f>IF(AND(J145&lt;&gt;"", OR(J145=0, J145=1)), IF(ROUND(H145,0)=J145, 1, 0), "")</f>
        <v/>
      </c>
    </row>
    <row r="146">
      <c r="A146" t="n">
        <v>20260190</v>
      </c>
      <c r="B146" t="inlineStr">
        <is>
          <t>2026-05-10</t>
        </is>
      </c>
      <c r="C146" t="inlineStr">
        <is>
          <t>NC</t>
        </is>
      </c>
      <c r="D146" t="inlineStr">
        <is>
          <t>삼성</t>
        </is>
      </c>
      <c r="E146" t="n">
        <v>11001</v>
      </c>
      <c r="F146" t="n">
        <v>1001</v>
      </c>
      <c r="G146" t="n">
        <v>19.79</v>
      </c>
      <c r="H146" t="n">
        <v>0.1979181508787887</v>
      </c>
      <c r="I146" t="inlineStr">
        <is>
          <t>core_full</t>
        </is>
      </c>
      <c r="J146" t="n">
        <v>0</v>
      </c>
      <c r="K146">
        <f>IF(AND(J146&lt;&gt;"", OR(J146=0, J146=1)), IF(ROUND(H146,0)=J146, 1, 0), "")</f>
        <v/>
      </c>
    </row>
    <row r="147">
      <c r="A147" t="n">
        <v>20260191</v>
      </c>
      <c r="B147" t="inlineStr">
        <is>
          <t>2026-05-12</t>
        </is>
      </c>
      <c r="C147" t="inlineStr">
        <is>
          <t>LG</t>
        </is>
      </c>
      <c r="D147" t="inlineStr">
        <is>
          <t>삼성</t>
        </is>
      </c>
      <c r="E147" t="n">
        <v>5002</v>
      </c>
      <c r="F147" t="n">
        <v>1001</v>
      </c>
      <c r="G147" t="n">
        <v>27.68</v>
      </c>
      <c r="H147" t="n">
        <v>0.2768035218009341</v>
      </c>
      <c r="I147" t="inlineStr">
        <is>
          <t>core_full</t>
        </is>
      </c>
      <c r="J147" t="n">
        <v>0</v>
      </c>
      <c r="K147">
        <f>IF(AND(J147&lt;&gt;"", OR(J147=0, J147=1)), IF(ROUND(H147,0)=J147, 1, 0), "")</f>
        <v/>
      </c>
    </row>
    <row r="148">
      <c r="A148" t="n">
        <v>20260192</v>
      </c>
      <c r="B148" t="inlineStr">
        <is>
          <t>2026-05-12</t>
        </is>
      </c>
      <c r="C148" t="inlineStr">
        <is>
          <t>키움</t>
        </is>
      </c>
      <c r="D148" t="inlineStr">
        <is>
          <t>한화</t>
        </is>
      </c>
      <c r="E148" t="n">
        <v>10001</v>
      </c>
      <c r="F148" t="n">
        <v>7002</v>
      </c>
      <c r="G148" t="n">
        <v>23.9</v>
      </c>
      <c r="H148" t="n">
        <v>0.2389945904564815</v>
      </c>
      <c r="I148" t="inlineStr">
        <is>
          <t>core_full</t>
        </is>
      </c>
      <c r="J148" t="n">
        <v>0</v>
      </c>
      <c r="K148">
        <f>IF(AND(J148&lt;&gt;"", OR(J148=0, J148=1)), IF(ROUND(H148,0)=J148, 1, 0), "")</f>
        <v/>
      </c>
    </row>
    <row r="149">
      <c r="A149" t="n">
        <v>20260193</v>
      </c>
      <c r="B149" t="inlineStr">
        <is>
          <t>2026-05-12</t>
        </is>
      </c>
      <c r="C149" t="inlineStr">
        <is>
          <t>KT</t>
        </is>
      </c>
      <c r="D149" t="inlineStr">
        <is>
          <t>SSG</t>
        </is>
      </c>
      <c r="E149" t="n">
        <v>12001</v>
      </c>
      <c r="F149" t="n">
        <v>9002</v>
      </c>
      <c r="G149" t="n">
        <v>54.78</v>
      </c>
      <c r="H149" t="n">
        <v>0.5477922038294649</v>
      </c>
      <c r="I149" t="inlineStr">
        <is>
          <t>core_full</t>
        </is>
      </c>
      <c r="J149" t="n">
        <v>0</v>
      </c>
      <c r="K149">
        <f>IF(AND(J149&lt;&gt;"", OR(J149=0, J149=1)), IF(ROUND(H149,0)=J149, 1, 0), "")</f>
        <v/>
      </c>
    </row>
    <row r="150">
      <c r="A150" t="n">
        <v>20260194</v>
      </c>
      <c r="B150" t="inlineStr">
        <is>
          <t>2026-05-12</t>
        </is>
      </c>
      <c r="C150" t="inlineStr">
        <is>
          <t>KIA</t>
        </is>
      </c>
      <c r="D150" t="inlineStr">
        <is>
          <t>두산</t>
        </is>
      </c>
      <c r="E150" t="n">
        <v>2002</v>
      </c>
      <c r="F150" t="n">
        <v>6002</v>
      </c>
      <c r="G150" t="n">
        <v>69.68000000000001</v>
      </c>
      <c r="H150" t="n">
        <v>0.6968124137197284</v>
      </c>
      <c r="I150" t="inlineStr">
        <is>
          <t>core_full</t>
        </is>
      </c>
      <c r="J150" t="n">
        <v>0</v>
      </c>
      <c r="K150">
        <f>IF(AND(J150&lt;&gt;"", OR(J150=0, J150=1)), IF(ROUND(H150,0)=J150, 1, 0), "")</f>
        <v/>
      </c>
    </row>
    <row r="151">
      <c r="A151" t="n">
        <v>20260195</v>
      </c>
      <c r="B151" t="inlineStr">
        <is>
          <t>2026-05-12</t>
        </is>
      </c>
      <c r="C151" t="inlineStr">
        <is>
          <t>롯데</t>
        </is>
      </c>
      <c r="D151" t="inlineStr">
        <is>
          <t>NC</t>
        </is>
      </c>
      <c r="E151" t="n">
        <v>3001</v>
      </c>
      <c r="F151" t="n">
        <v>11001</v>
      </c>
      <c r="G151" t="n">
        <v>66.65000000000001</v>
      </c>
      <c r="H151" t="n">
        <v>0.6665128669305967</v>
      </c>
      <c r="I151" t="inlineStr">
        <is>
          <t>core_full</t>
        </is>
      </c>
      <c r="J151" t="n">
        <v>0</v>
      </c>
      <c r="K151">
        <f>IF(AND(J151&lt;&gt;"", OR(J151=0, J151=1)), IF(ROUND(H151,0)=J151, 1, 0), "")</f>
        <v/>
      </c>
    </row>
    <row r="152">
      <c r="A152" t="n">
        <v>20260196</v>
      </c>
      <c r="B152" t="inlineStr">
        <is>
          <t>2026-05-13</t>
        </is>
      </c>
      <c r="C152" t="inlineStr">
        <is>
          <t>LG</t>
        </is>
      </c>
      <c r="D152" t="inlineStr">
        <is>
          <t>삼성</t>
        </is>
      </c>
      <c r="E152" t="n">
        <v>5002</v>
      </c>
      <c r="F152" t="n">
        <v>1001</v>
      </c>
      <c r="G152" t="n">
        <v>35.47</v>
      </c>
      <c r="H152" t="n">
        <v>0.354738519591365</v>
      </c>
      <c r="I152" t="inlineStr">
        <is>
          <t>core_sp</t>
        </is>
      </c>
      <c r="J152" t="n">
        <v>1</v>
      </c>
      <c r="K152">
        <f>IF(AND(J152&lt;&gt;"", OR(J152=0, J152=1)), IF(ROUND(H152,0)=J152, 1, 0), "")</f>
        <v/>
      </c>
    </row>
    <row r="153">
      <c r="A153" t="n">
        <v>20260197</v>
      </c>
      <c r="B153" t="inlineStr">
        <is>
          <t>2026-05-13</t>
        </is>
      </c>
      <c r="C153" t="inlineStr">
        <is>
          <t>키움</t>
        </is>
      </c>
      <c r="D153" t="inlineStr">
        <is>
          <t>한화</t>
        </is>
      </c>
      <c r="E153" t="n">
        <v>10001</v>
      </c>
      <c r="F153" t="n">
        <v>7002</v>
      </c>
      <c r="G153" t="n">
        <v>52.26</v>
      </c>
      <c r="H153" t="n">
        <v>0.5225991968416961</v>
      </c>
      <c r="I153" t="inlineStr">
        <is>
          <t>core_sp</t>
        </is>
      </c>
      <c r="J153" t="n">
        <v>1</v>
      </c>
      <c r="K153">
        <f>IF(AND(J153&lt;&gt;"", OR(J153=0, J153=1)), IF(ROUND(H153,0)=J153, 1, 0), "")</f>
        <v/>
      </c>
    </row>
    <row r="154">
      <c r="A154" t="n">
        <v>20260198</v>
      </c>
      <c r="B154" t="inlineStr">
        <is>
          <t>2026-05-13</t>
        </is>
      </c>
      <c r="C154" t="inlineStr">
        <is>
          <t>KT</t>
        </is>
      </c>
      <c r="D154" t="inlineStr">
        <is>
          <t>SSG</t>
        </is>
      </c>
      <c r="E154" t="n">
        <v>12001</v>
      </c>
      <c r="F154" t="n">
        <v>9002</v>
      </c>
      <c r="G154" t="n">
        <v>66.81999999999999</v>
      </c>
      <c r="H154" t="n">
        <v>0.6681551578999807</v>
      </c>
      <c r="I154" t="inlineStr">
        <is>
          <t>core_sp</t>
        </is>
      </c>
      <c r="J154" t="n">
        <v>1</v>
      </c>
      <c r="K154">
        <f>IF(AND(J154&lt;&gt;"", OR(J154=0, J154=1)), IF(ROUND(H154,0)=J154, 1, 0), "")</f>
        <v/>
      </c>
    </row>
    <row r="155">
      <c r="A155" t="n">
        <v>20260199</v>
      </c>
      <c r="B155" t="inlineStr">
        <is>
          <t>2026-05-13</t>
        </is>
      </c>
      <c r="C155" t="inlineStr">
        <is>
          <t>KIA</t>
        </is>
      </c>
      <c r="D155" t="inlineStr">
        <is>
          <t>두산</t>
        </is>
      </c>
      <c r="E155" t="n">
        <v>2002</v>
      </c>
      <c r="F155" t="n">
        <v>6002</v>
      </c>
      <c r="G155" t="n">
        <v>20.28</v>
      </c>
      <c r="H155" t="n">
        <v>0.2028255799409134</v>
      </c>
      <c r="I155" t="inlineStr">
        <is>
          <t>core_sp</t>
        </is>
      </c>
      <c r="J155" t="n">
        <v>1</v>
      </c>
      <c r="K155">
        <f>IF(AND(J155&lt;&gt;"", OR(J155=0, J155=1)), IF(ROUND(H155,0)=J155, 1, 0), "")</f>
        <v/>
      </c>
    </row>
    <row r="156">
      <c r="A156" t="n">
        <v>20260200</v>
      </c>
      <c r="B156" t="inlineStr">
        <is>
          <t>2026-05-13</t>
        </is>
      </c>
      <c r="C156" t="inlineStr">
        <is>
          <t>롯데</t>
        </is>
      </c>
      <c r="D156" t="inlineStr">
        <is>
          <t>NC</t>
        </is>
      </c>
      <c r="E156" t="n">
        <v>3001</v>
      </c>
      <c r="F156" t="n">
        <v>11001</v>
      </c>
      <c r="G156" t="n">
        <v>69.78</v>
      </c>
      <c r="H156" t="n">
        <v>0.6977748647329215</v>
      </c>
      <c r="I156" t="inlineStr">
        <is>
          <t>core_sp</t>
        </is>
      </c>
      <c r="J156" t="n">
        <v>1</v>
      </c>
      <c r="K156">
        <f>IF(AND(J156&lt;&gt;"", OR(J156=0, J156=1)), IF(ROUND(H156,0)=J156, 1, 0), "")</f>
        <v/>
      </c>
    </row>
    <row r="157">
      <c r="A157" t="n">
        <v>20260201</v>
      </c>
      <c r="B157" t="inlineStr">
        <is>
          <t>2026-05-14</t>
        </is>
      </c>
      <c r="C157" t="inlineStr">
        <is>
          <t>LG</t>
        </is>
      </c>
      <c r="D157" t="inlineStr">
        <is>
          <t>삼성</t>
        </is>
      </c>
      <c r="E157" t="n">
        <v>5002</v>
      </c>
      <c r="F157" t="n">
        <v>1001</v>
      </c>
      <c r="G157" t="n">
        <v>37.72</v>
      </c>
      <c r="H157" t="n">
        <v>0.3772108581968189</v>
      </c>
      <c r="I157" t="inlineStr">
        <is>
          <t>core_full</t>
        </is>
      </c>
      <c r="J157" t="n">
        <v>0</v>
      </c>
      <c r="K157">
        <f>IF(AND(J157&lt;&gt;"", OR(J157=0, J157=1)), IF(ROUND(H157,0)=J157, 1, 0), "")</f>
        <v/>
      </c>
    </row>
    <row r="158">
      <c r="A158" t="n">
        <v>20260202</v>
      </c>
      <c r="B158" t="inlineStr">
        <is>
          <t>2026-05-14</t>
        </is>
      </c>
      <c r="C158" t="inlineStr">
        <is>
          <t>키움</t>
        </is>
      </c>
      <c r="D158" t="inlineStr">
        <is>
          <t>한화</t>
        </is>
      </c>
      <c r="E158" t="n">
        <v>10001</v>
      </c>
      <c r="F158" t="n">
        <v>7002</v>
      </c>
      <c r="G158" t="n">
        <v>42.7</v>
      </c>
      <c r="H158" t="n">
        <v>0.4270204579887192</v>
      </c>
      <c r="I158" t="inlineStr">
        <is>
          <t>core_full</t>
        </is>
      </c>
      <c r="J158" t="n">
        <v>0</v>
      </c>
      <c r="K158">
        <f>IF(AND(J158&lt;&gt;"", OR(J158=0, J158=1)), IF(ROUND(H158,0)=J158, 1, 0), "")</f>
        <v/>
      </c>
    </row>
    <row r="159">
      <c r="A159" t="n">
        <v>20260203</v>
      </c>
      <c r="B159" t="inlineStr">
        <is>
          <t>2026-05-14</t>
        </is>
      </c>
      <c r="C159" t="inlineStr">
        <is>
          <t>KT</t>
        </is>
      </c>
      <c r="D159" t="inlineStr">
        <is>
          <t>SSG</t>
        </is>
      </c>
      <c r="E159" t="n">
        <v>12001</v>
      </c>
      <c r="F159" t="n">
        <v>9002</v>
      </c>
      <c r="G159" t="n">
        <v>63.06</v>
      </c>
      <c r="H159" t="n">
        <v>0.6305700596707641</v>
      </c>
      <c r="I159" t="inlineStr">
        <is>
          <t>core_full</t>
        </is>
      </c>
      <c r="J159" t="n">
        <v>0</v>
      </c>
      <c r="K159">
        <f>IF(AND(J159&lt;&gt;"", OR(J159=0, J159=1)), IF(ROUND(H159,0)=J159, 1, 0), "")</f>
        <v/>
      </c>
    </row>
    <row r="160">
      <c r="A160" t="n">
        <v>20260204</v>
      </c>
      <c r="B160" t="inlineStr">
        <is>
          <t>2026-05-14</t>
        </is>
      </c>
      <c r="C160" t="inlineStr">
        <is>
          <t>KIA</t>
        </is>
      </c>
      <c r="D160" t="inlineStr">
        <is>
          <t>두산</t>
        </is>
      </c>
      <c r="E160" t="n">
        <v>2002</v>
      </c>
      <c r="F160" t="n">
        <v>6002</v>
      </c>
      <c r="G160" t="n">
        <v>39.63</v>
      </c>
      <c r="H160" t="n">
        <v>0.3963160945950911</v>
      </c>
      <c r="I160" t="inlineStr">
        <is>
          <t>core_full</t>
        </is>
      </c>
      <c r="J160" t="n">
        <v>1</v>
      </c>
      <c r="K160">
        <f>IF(AND(J160&lt;&gt;"", OR(J160=0, J160=1)), IF(ROUND(H160,0)=J160, 1, 0), "")</f>
        <v/>
      </c>
    </row>
    <row r="161">
      <c r="A161" t="n">
        <v>20260205</v>
      </c>
      <c r="B161" t="inlineStr">
        <is>
          <t>2026-05-14</t>
        </is>
      </c>
      <c r="C161" t="inlineStr">
        <is>
          <t>롯데</t>
        </is>
      </c>
      <c r="D161" t="inlineStr">
        <is>
          <t>NC</t>
        </is>
      </c>
      <c r="E161" t="n">
        <v>3001</v>
      </c>
      <c r="F161" t="n">
        <v>11001</v>
      </c>
      <c r="G161" t="n">
        <v>43.45</v>
      </c>
      <c r="H161" t="n">
        <v>0.4344763523320166</v>
      </c>
      <c r="I161" t="inlineStr">
        <is>
          <t>core_full</t>
        </is>
      </c>
      <c r="J161" t="n">
        <v>0</v>
      </c>
      <c r="K161">
        <f>IF(AND(J161&lt;&gt;"", OR(J161=0, J161=1)), IF(ROUND(H161,0)=J161, 1, 0), "")</f>
        <v/>
      </c>
    </row>
    <row r="162">
      <c r="A162" t="n">
        <v>20260206</v>
      </c>
      <c r="B162" t="inlineStr">
        <is>
          <t>2026-05-15</t>
        </is>
      </c>
      <c r="C162" t="inlineStr">
        <is>
          <t>두산</t>
        </is>
      </c>
      <c r="D162" t="inlineStr">
        <is>
          <t>롯데</t>
        </is>
      </c>
      <c r="E162" t="n">
        <v>6002</v>
      </c>
      <c r="F162" t="n">
        <v>3001</v>
      </c>
      <c r="G162" t="n">
        <v>51.65</v>
      </c>
      <c r="H162" t="n">
        <v>0.5165330541508711</v>
      </c>
      <c r="I162" t="inlineStr">
        <is>
          <t>core_sp</t>
        </is>
      </c>
      <c r="J162" t="n">
        <v>0</v>
      </c>
      <c r="K162">
        <f>IF(AND(J162&lt;&gt;"", OR(J162=0, J162=1)), IF(ROUND(H162,0)=J162, 1, 0), "")</f>
        <v/>
      </c>
    </row>
    <row r="163">
      <c r="A163" t="n">
        <v>20260207</v>
      </c>
      <c r="B163" t="inlineStr">
        <is>
          <t>2026-05-15</t>
        </is>
      </c>
      <c r="C163" t="inlineStr">
        <is>
          <t>SSG</t>
        </is>
      </c>
      <c r="D163" t="inlineStr">
        <is>
          <t>LG</t>
        </is>
      </c>
      <c r="E163" t="n">
        <v>9002</v>
      </c>
      <c r="F163" t="n">
        <v>5002</v>
      </c>
      <c r="G163" t="n">
        <v>10.28</v>
      </c>
      <c r="H163" t="n">
        <v>0.1028356045602769</v>
      </c>
      <c r="I163" t="inlineStr">
        <is>
          <t>core_sp</t>
        </is>
      </c>
      <c r="J163" t="n">
        <v>0</v>
      </c>
      <c r="K163">
        <f>IF(AND(J163&lt;&gt;"", OR(J163=0, J163=1)), IF(ROUND(H163,0)=J163, 1, 0), "")</f>
        <v/>
      </c>
    </row>
    <row r="164">
      <c r="A164" t="n">
        <v>20260208</v>
      </c>
      <c r="B164" t="inlineStr">
        <is>
          <t>2026-05-15</t>
        </is>
      </c>
      <c r="C164" t="inlineStr">
        <is>
          <t>KT</t>
        </is>
      </c>
      <c r="D164" t="inlineStr">
        <is>
          <t>한화</t>
        </is>
      </c>
      <c r="E164" t="n">
        <v>12001</v>
      </c>
      <c r="F164" t="n">
        <v>7002</v>
      </c>
      <c r="G164" t="n">
        <v>47.53</v>
      </c>
      <c r="H164" t="n">
        <v>0.4752857544626855</v>
      </c>
      <c r="I164" t="inlineStr">
        <is>
          <t>core_sp</t>
        </is>
      </c>
      <c r="J164" t="n">
        <v>0</v>
      </c>
      <c r="K164">
        <f>IF(AND(J164&lt;&gt;"", OR(J164=0, J164=1)), IF(ROUND(H164,0)=J164, 1, 0), "")</f>
        <v/>
      </c>
    </row>
    <row r="165">
      <c r="A165" t="n">
        <v>20260209</v>
      </c>
      <c r="B165" t="inlineStr">
        <is>
          <t>2026-05-15</t>
        </is>
      </c>
      <c r="C165" t="inlineStr">
        <is>
          <t>삼성</t>
        </is>
      </c>
      <c r="D165" t="inlineStr">
        <is>
          <t>KIA</t>
        </is>
      </c>
      <c r="E165" t="n">
        <v>1001</v>
      </c>
      <c r="F165" t="n">
        <v>2002</v>
      </c>
      <c r="G165" t="n">
        <v>54.48</v>
      </c>
      <c r="H165" t="n">
        <v>0.5448111809903715</v>
      </c>
      <c r="I165" t="inlineStr">
        <is>
          <t>core_sp</t>
        </is>
      </c>
      <c r="J165" t="n">
        <v>0</v>
      </c>
      <c r="K165">
        <f>IF(AND(J165&lt;&gt;"", OR(J165=0, J165=1)), IF(ROUND(H165,0)=J165, 1, 0), "")</f>
        <v/>
      </c>
    </row>
    <row r="166">
      <c r="A166" t="n">
        <v>20260210</v>
      </c>
      <c r="B166" t="inlineStr">
        <is>
          <t>2026-05-15</t>
        </is>
      </c>
      <c r="C166" t="inlineStr">
        <is>
          <t>NC</t>
        </is>
      </c>
      <c r="D166" t="inlineStr">
        <is>
          <t>키움</t>
        </is>
      </c>
      <c r="E166" t="n">
        <v>11001</v>
      </c>
      <c r="F166" t="n">
        <v>10001</v>
      </c>
      <c r="G166" t="n">
        <v>32.65</v>
      </c>
      <c r="H166" t="n">
        <v>0.3265168192275489</v>
      </c>
      <c r="I166" t="inlineStr">
        <is>
          <t>core_sp</t>
        </is>
      </c>
      <c r="J166" t="n">
        <v>0</v>
      </c>
      <c r="K166">
        <f>IF(AND(J166&lt;&gt;"", OR(J166=0, J166=1)), IF(ROUND(H166,0)=J166, 1, 0), "")</f>
        <v/>
      </c>
    </row>
    <row r="167">
      <c r="A167" t="n">
        <v>20260213</v>
      </c>
      <c r="B167" t="inlineStr">
        <is>
          <t>2026-05-16</t>
        </is>
      </c>
      <c r="C167" t="inlineStr">
        <is>
          <t>KT</t>
        </is>
      </c>
      <c r="D167" t="inlineStr">
        <is>
          <t>한화</t>
        </is>
      </c>
      <c r="E167" t="n">
        <v>12001</v>
      </c>
      <c r="F167" t="n">
        <v>7002</v>
      </c>
      <c r="G167" t="n">
        <v>67.27</v>
      </c>
      <c r="H167" t="n">
        <v>0.6727473223975902</v>
      </c>
      <c r="I167" t="inlineStr">
        <is>
          <t>core_sp</t>
        </is>
      </c>
      <c r="J167" t="n">
        <v>0</v>
      </c>
      <c r="K167">
        <f>IF(AND(J167&lt;&gt;"", OR(J167=0, J167=1)), IF(ROUND(H167,0)=J167, 1, 0), "")</f>
        <v/>
      </c>
    </row>
    <row r="168">
      <c r="A168" t="n">
        <v>20260211</v>
      </c>
      <c r="B168" t="inlineStr">
        <is>
          <t>2026-05-16</t>
        </is>
      </c>
      <c r="C168" t="inlineStr">
        <is>
          <t>두산</t>
        </is>
      </c>
      <c r="D168" t="inlineStr">
        <is>
          <t>롯데</t>
        </is>
      </c>
      <c r="E168" t="n">
        <v>6002</v>
      </c>
      <c r="F168" t="n">
        <v>3001</v>
      </c>
      <c r="G168" t="n">
        <v>60.27</v>
      </c>
      <c r="H168" t="n">
        <v>0.6026720173531367</v>
      </c>
      <c r="I168" t="inlineStr">
        <is>
          <t>core_sp</t>
        </is>
      </c>
      <c r="J168" t="n">
        <v>1</v>
      </c>
      <c r="K168">
        <f>IF(AND(J168&lt;&gt;"", OR(J168=0, J168=1)), IF(ROUND(H168,0)=J168, 1, 0), "")</f>
        <v/>
      </c>
    </row>
    <row r="169">
      <c r="A169" t="n">
        <v>20260212</v>
      </c>
      <c r="B169" t="inlineStr">
        <is>
          <t>2026-05-16</t>
        </is>
      </c>
      <c r="C169" t="inlineStr">
        <is>
          <t>SSG</t>
        </is>
      </c>
      <c r="D169" t="inlineStr">
        <is>
          <t>LG</t>
        </is>
      </c>
      <c r="E169" t="n">
        <v>9002</v>
      </c>
      <c r="F169" t="n">
        <v>5002</v>
      </c>
      <c r="G169" t="n">
        <v>58.79</v>
      </c>
      <c r="H169" t="n">
        <v>0.5878583530205586</v>
      </c>
      <c r="I169" t="inlineStr">
        <is>
          <t>core_sp</t>
        </is>
      </c>
      <c r="J169" t="n">
        <v>1</v>
      </c>
      <c r="K169">
        <f>IF(AND(J169&lt;&gt;"", OR(J169=0, J169=1)), IF(ROUND(H169,0)=J169, 1, 0), "")</f>
        <v/>
      </c>
    </row>
    <row r="170">
      <c r="A170" t="n">
        <v>20260214</v>
      </c>
      <c r="B170" t="inlineStr">
        <is>
          <t>2026-05-16</t>
        </is>
      </c>
      <c r="C170" t="inlineStr">
        <is>
          <t>삼성</t>
        </is>
      </c>
      <c r="D170" t="inlineStr">
        <is>
          <t>KIA</t>
        </is>
      </c>
      <c r="E170" t="n">
        <v>1001</v>
      </c>
      <c r="F170" t="n">
        <v>2002</v>
      </c>
      <c r="G170" t="n">
        <v>72.11</v>
      </c>
      <c r="H170" t="n">
        <v>0.7211088078686466</v>
      </c>
      <c r="I170" t="inlineStr">
        <is>
          <t>core_sp</t>
        </is>
      </c>
      <c r="J170" t="n">
        <v>1</v>
      </c>
      <c r="K170">
        <f>IF(AND(J170&lt;&gt;"", OR(J170=0, J170=1)), IF(ROUND(H170,0)=J170, 1, 0), "")</f>
        <v/>
      </c>
    </row>
    <row r="171">
      <c r="A171" t="n">
        <v>20260215</v>
      </c>
      <c r="B171" t="inlineStr">
        <is>
          <t>2026-05-16</t>
        </is>
      </c>
      <c r="C171" t="inlineStr">
        <is>
          <t>NC</t>
        </is>
      </c>
      <c r="D171" t="inlineStr">
        <is>
          <t>키움</t>
        </is>
      </c>
      <c r="E171" t="n">
        <v>11001</v>
      </c>
      <c r="F171" t="n">
        <v>10001</v>
      </c>
      <c r="G171" t="n">
        <v>41.03</v>
      </c>
      <c r="H171" t="n">
        <v>0.4103273073274463</v>
      </c>
      <c r="I171" t="inlineStr">
        <is>
          <t>core_sp</t>
        </is>
      </c>
      <c r="J171" t="n">
        <v>1</v>
      </c>
      <c r="K171">
        <f>IF(AND(J171&lt;&gt;"", OR(J171=0, J171=1)), IF(ROUND(H171,0)=J171, 1, 0), "")</f>
        <v/>
      </c>
    </row>
    <row r="172">
      <c r="A172" t="n">
        <v>20260216</v>
      </c>
      <c r="B172" t="inlineStr">
        <is>
          <t>2026-05-17</t>
        </is>
      </c>
      <c r="C172" t="inlineStr">
        <is>
          <t>두산</t>
        </is>
      </c>
      <c r="D172" t="inlineStr">
        <is>
          <t>롯데</t>
        </is>
      </c>
      <c r="E172" t="n">
        <v>6002</v>
      </c>
      <c r="F172" t="n">
        <v>3001</v>
      </c>
      <c r="G172" t="n">
        <v>46.67</v>
      </c>
      <c r="H172" t="n">
        <v>0.4666588753968506</v>
      </c>
      <c r="I172" t="inlineStr">
        <is>
          <t>core_sp</t>
        </is>
      </c>
      <c r="J172" t="n">
        <v>1</v>
      </c>
      <c r="K172">
        <f>IF(AND(J172&lt;&gt;"", OR(J172=0, J172=1)), IF(ROUND(H172,0)=J172, 1, 0), "")</f>
        <v/>
      </c>
    </row>
    <row r="173">
      <c r="A173" t="n">
        <v>20260217</v>
      </c>
      <c r="B173" t="inlineStr">
        <is>
          <t>2026-05-17</t>
        </is>
      </c>
      <c r="C173" t="inlineStr">
        <is>
          <t>SSG</t>
        </is>
      </c>
      <c r="D173" t="inlineStr">
        <is>
          <t>LG</t>
        </is>
      </c>
      <c r="E173" t="n">
        <v>9002</v>
      </c>
      <c r="F173" t="n">
        <v>5002</v>
      </c>
      <c r="G173" t="n">
        <v>50.49</v>
      </c>
      <c r="H173" t="n">
        <v>0.5048964467932884</v>
      </c>
      <c r="I173" t="inlineStr">
        <is>
          <t>core_sp</t>
        </is>
      </c>
      <c r="J173" t="n">
        <v>0</v>
      </c>
      <c r="K173">
        <f>IF(AND(J173&lt;&gt;"", OR(J173=0, J173=1)), IF(ROUND(H173,0)=J173, 1, 0), "")</f>
        <v/>
      </c>
    </row>
    <row r="174">
      <c r="A174" t="n">
        <v>20260218</v>
      </c>
      <c r="B174" t="inlineStr">
        <is>
          <t>2026-05-17</t>
        </is>
      </c>
      <c r="C174" t="inlineStr">
        <is>
          <t>KT</t>
        </is>
      </c>
      <c r="D174" t="inlineStr">
        <is>
          <t>한화</t>
        </is>
      </c>
      <c r="E174" t="n">
        <v>12001</v>
      </c>
      <c r="F174" t="n">
        <v>7002</v>
      </c>
      <c r="G174" t="n">
        <v>28.02</v>
      </c>
      <c r="H174" t="n">
        <v>0.2801555148717317</v>
      </c>
      <c r="I174" t="inlineStr">
        <is>
          <t>core_sp</t>
        </is>
      </c>
      <c r="J174" t="n">
        <v>1</v>
      </c>
      <c r="K174">
        <f>IF(AND(J174&lt;&gt;"", OR(J174=0, J174=1)), IF(ROUND(H174,0)=J174, 1, 0), "")</f>
        <v/>
      </c>
    </row>
    <row r="175">
      <c r="A175" t="n">
        <v>20260219</v>
      </c>
      <c r="B175" t="inlineStr">
        <is>
          <t>2026-05-17</t>
        </is>
      </c>
      <c r="C175" t="inlineStr">
        <is>
          <t>삼성</t>
        </is>
      </c>
      <c r="D175" t="inlineStr">
        <is>
          <t>KIA</t>
        </is>
      </c>
      <c r="E175" t="n">
        <v>1001</v>
      </c>
      <c r="F175" t="n">
        <v>2002</v>
      </c>
      <c r="G175" t="n">
        <v>73.64</v>
      </c>
      <c r="H175" t="n">
        <v>0.7364455934400748</v>
      </c>
      <c r="I175" t="inlineStr">
        <is>
          <t>core_sp</t>
        </is>
      </c>
      <c r="J175" t="n">
        <v>0</v>
      </c>
      <c r="K175">
        <f>IF(AND(J175&lt;&gt;"", OR(J175=0, J175=1)), IF(ROUND(H175,0)=J175, 1, 0), "")</f>
        <v/>
      </c>
    </row>
    <row r="176">
      <c r="A176" t="n">
        <v>20260220</v>
      </c>
      <c r="B176" t="inlineStr">
        <is>
          <t>2026-05-17</t>
        </is>
      </c>
      <c r="C176" t="inlineStr">
        <is>
          <t>NC</t>
        </is>
      </c>
      <c r="D176" t="inlineStr">
        <is>
          <t>키움</t>
        </is>
      </c>
      <c r="E176" t="n">
        <v>11001</v>
      </c>
      <c r="F176" t="n">
        <v>10001</v>
      </c>
      <c r="G176" t="n">
        <v>56.37</v>
      </c>
      <c r="H176" t="n">
        <v>0.5636808485837504</v>
      </c>
      <c r="I176" t="inlineStr">
        <is>
          <t>core_sp</t>
        </is>
      </c>
      <c r="J176" t="n">
        <v>0</v>
      </c>
      <c r="K176">
        <f>IF(AND(J176&lt;&gt;"", OR(J176=0, J176=1)), IF(ROUND(H176,0)=J176, 1, 0), "")</f>
        <v/>
      </c>
    </row>
    <row r="177">
      <c r="A177" t="n">
        <v>20260221</v>
      </c>
      <c r="B177" t="inlineStr">
        <is>
          <t>2026-05-19</t>
        </is>
      </c>
      <c r="C177" t="inlineStr">
        <is>
          <t>두산</t>
        </is>
      </c>
      <c r="D177" t="inlineStr">
        <is>
          <t>NC</t>
        </is>
      </c>
      <c r="E177" t="n">
        <v>6002</v>
      </c>
      <c r="F177" t="n">
        <v>11001</v>
      </c>
      <c r="G177" t="n">
        <v>64.54000000000001</v>
      </c>
      <c r="H177" t="n">
        <v>0.6454187932571784</v>
      </c>
      <c r="I177" t="inlineStr">
        <is>
          <t>elo_sp</t>
        </is>
      </c>
      <c r="J177" t="n">
        <v>1</v>
      </c>
      <c r="K177">
        <f>IF(AND(J177&lt;&gt;"", OR(J177=0, J177=1)), IF(ROUND(H177,0)=J177, 1, 0), "")</f>
        <v/>
      </c>
    </row>
    <row r="178">
      <c r="A178" t="n">
        <v>20260222</v>
      </c>
      <c r="B178" t="inlineStr">
        <is>
          <t>2026-05-19</t>
        </is>
      </c>
      <c r="C178" t="inlineStr">
        <is>
          <t>키움</t>
        </is>
      </c>
      <c r="D178" t="inlineStr">
        <is>
          <t>SSG</t>
        </is>
      </c>
      <c r="E178" t="n">
        <v>10001</v>
      </c>
      <c r="F178" t="n">
        <v>9002</v>
      </c>
      <c r="G178" t="n">
        <v>69.17</v>
      </c>
      <c r="H178" t="n">
        <v>0.6916602638986075</v>
      </c>
      <c r="I178" t="inlineStr">
        <is>
          <t>elo_sp</t>
        </is>
      </c>
      <c r="J178" t="n">
        <v>1</v>
      </c>
      <c r="K178">
        <f>IF(AND(J178&lt;&gt;"", OR(J178=0, J178=1)), IF(ROUND(H178,0)=J178, 1, 0), "")</f>
        <v/>
      </c>
    </row>
    <row r="179">
      <c r="A179" t="n">
        <v>20260223</v>
      </c>
      <c r="B179" t="inlineStr">
        <is>
          <t>2026-05-19</t>
        </is>
      </c>
      <c r="C179" t="inlineStr">
        <is>
          <t>한화</t>
        </is>
      </c>
      <c r="D179" t="inlineStr">
        <is>
          <t>롯데</t>
        </is>
      </c>
      <c r="E179" t="n">
        <v>7002</v>
      </c>
      <c r="F179" t="n">
        <v>3001</v>
      </c>
      <c r="G179" t="n">
        <v>47.15</v>
      </c>
      <c r="H179" t="n">
        <v>0.471502791842707</v>
      </c>
      <c r="I179" t="inlineStr">
        <is>
          <t>elo_sp</t>
        </is>
      </c>
      <c r="J179" t="n">
        <v>0</v>
      </c>
      <c r="K179">
        <f>IF(AND(J179&lt;&gt;"", OR(J179=0, J179=1)), IF(ROUND(H179,0)=J179, 1, 0), "")</f>
        <v/>
      </c>
    </row>
    <row r="180">
      <c r="A180" t="n">
        <v>20260224</v>
      </c>
      <c r="B180" t="inlineStr">
        <is>
          <t>2026-05-19</t>
        </is>
      </c>
      <c r="C180" t="inlineStr">
        <is>
          <t>삼성</t>
        </is>
      </c>
      <c r="D180" t="inlineStr">
        <is>
          <t>KT</t>
        </is>
      </c>
      <c r="E180" t="n">
        <v>1001</v>
      </c>
      <c r="F180" t="n">
        <v>12001</v>
      </c>
      <c r="G180" t="n">
        <v>47.87</v>
      </c>
      <c r="H180" t="n">
        <v>0.4787123419364039</v>
      </c>
      <c r="I180" t="inlineStr">
        <is>
          <t>elo_sp</t>
        </is>
      </c>
      <c r="J180" t="n">
        <v>1</v>
      </c>
      <c r="K180">
        <f>IF(AND(J180&lt;&gt;"", OR(J180=0, J180=1)), IF(ROUND(H180,0)=J180, 1, 0), "")</f>
        <v/>
      </c>
    </row>
    <row r="181">
      <c r="A181" t="n">
        <v>20260225</v>
      </c>
      <c r="B181" t="inlineStr">
        <is>
          <t>2026-05-19</t>
        </is>
      </c>
      <c r="C181" t="inlineStr">
        <is>
          <t>KIA</t>
        </is>
      </c>
      <c r="D181" t="inlineStr">
        <is>
          <t>LG</t>
        </is>
      </c>
      <c r="E181" t="n">
        <v>2002</v>
      </c>
      <c r="F181" t="n">
        <v>5002</v>
      </c>
      <c r="G181" t="n">
        <v>55.82</v>
      </c>
      <c r="H181" t="n">
        <v>0.5582253012029273</v>
      </c>
      <c r="I181" t="inlineStr">
        <is>
          <t>elo_sp</t>
        </is>
      </c>
      <c r="J181" t="n">
        <v>1</v>
      </c>
      <c r="K181">
        <f>IF(AND(J181&lt;&gt;"", OR(J181=0, J181=1)), IF(ROUND(H181,0)=J181, 1, 0), "")</f>
        <v/>
      </c>
    </row>
    <row r="182">
      <c r="A182" t="n">
        <v>20260226</v>
      </c>
      <c r="B182" t="inlineStr">
        <is>
          <t>2026-05-20</t>
        </is>
      </c>
      <c r="C182" t="inlineStr">
        <is>
          <t>두산</t>
        </is>
      </c>
      <c r="D182" t="inlineStr">
        <is>
          <t>NC</t>
        </is>
      </c>
      <c r="E182" t="n">
        <v>6002</v>
      </c>
      <c r="F182" t="n">
        <v>11001</v>
      </c>
      <c r="G182" t="n">
        <v>63.31</v>
      </c>
      <c r="H182" t="n">
        <v>0.6331490018672228</v>
      </c>
      <c r="I182" t="inlineStr">
        <is>
          <t>elo_sp</t>
        </is>
      </c>
      <c r="J182" t="inlineStr">
        <is>
          <t>cancel</t>
        </is>
      </c>
      <c r="K182">
        <f>IF(AND(J182&lt;&gt;"", OR(J182=0, J182=1)), IF(ROUND(H182,0)=J182, 1, 0), "")</f>
        <v/>
      </c>
    </row>
    <row r="183">
      <c r="A183" t="n">
        <v>20260227</v>
      </c>
      <c r="B183" t="inlineStr">
        <is>
          <t>2026-05-20</t>
        </is>
      </c>
      <c r="C183" t="inlineStr">
        <is>
          <t>키움</t>
        </is>
      </c>
      <c r="D183" t="inlineStr">
        <is>
          <t>SSG</t>
        </is>
      </c>
      <c r="E183" t="n">
        <v>10001</v>
      </c>
      <c r="F183" t="n">
        <v>9002</v>
      </c>
      <c r="G183" t="n">
        <v>56.84</v>
      </c>
      <c r="H183" t="n">
        <v>0.5683537592801126</v>
      </c>
      <c r="I183" t="inlineStr">
        <is>
          <t>elo_sp</t>
        </is>
      </c>
      <c r="J183" t="n">
        <v>1</v>
      </c>
      <c r="K183">
        <f>IF(AND(J183&lt;&gt;"", OR(J183=0, J183=1)), IF(ROUND(H183,0)=J183, 1, 0), "")</f>
        <v/>
      </c>
    </row>
    <row r="184">
      <c r="A184" t="n">
        <v>20260228</v>
      </c>
      <c r="B184" t="inlineStr">
        <is>
          <t>2026-05-20</t>
        </is>
      </c>
      <c r="C184" t="inlineStr">
        <is>
          <t>한화</t>
        </is>
      </c>
      <c r="D184" t="inlineStr">
        <is>
          <t>롯데</t>
        </is>
      </c>
      <c r="E184" t="n">
        <v>7002</v>
      </c>
      <c r="F184" t="n">
        <v>3001</v>
      </c>
      <c r="G184" t="n">
        <v>50.47</v>
      </c>
      <c r="H184" t="n">
        <v>0.504656170161356</v>
      </c>
      <c r="I184" t="inlineStr">
        <is>
          <t>elo_sp</t>
        </is>
      </c>
      <c r="J184" t="inlineStr">
        <is>
          <t>cancel</t>
        </is>
      </c>
      <c r="K184">
        <f>IF(AND(J184&lt;&gt;"", OR(J184=0, J184=1)), IF(ROUND(H184,0)=J184, 1, 0), "")</f>
        <v/>
      </c>
    </row>
    <row r="185">
      <c r="A185" t="n">
        <v>20260229</v>
      </c>
      <c r="B185" t="inlineStr">
        <is>
          <t>2026-05-20</t>
        </is>
      </c>
      <c r="C185" t="inlineStr">
        <is>
          <t>삼성</t>
        </is>
      </c>
      <c r="D185" t="inlineStr">
        <is>
          <t>KT</t>
        </is>
      </c>
      <c r="E185" t="n">
        <v>1001</v>
      </c>
      <c r="F185" t="n">
        <v>12001</v>
      </c>
      <c r="G185" t="n">
        <v>42.89</v>
      </c>
      <c r="H185" t="n">
        <v>0.4288599379023278</v>
      </c>
      <c r="I185" t="inlineStr">
        <is>
          <t>elo_sp</t>
        </is>
      </c>
      <c r="J185" t="inlineStr">
        <is>
          <t>cancel</t>
        </is>
      </c>
      <c r="K185">
        <f>IF(AND(J185&lt;&gt;"", OR(J185=0, J185=1)), IF(ROUND(H185,0)=J185, 1, 0), "")</f>
        <v/>
      </c>
    </row>
    <row r="186">
      <c r="A186" t="n">
        <v>20260230</v>
      </c>
      <c r="B186" t="inlineStr">
        <is>
          <t>2026-05-20</t>
        </is>
      </c>
      <c r="C186" t="inlineStr">
        <is>
          <t>KIA</t>
        </is>
      </c>
      <c r="D186" t="inlineStr">
        <is>
          <t>LG</t>
        </is>
      </c>
      <c r="E186" t="n">
        <v>2002</v>
      </c>
      <c r="F186" t="n">
        <v>5002</v>
      </c>
      <c r="G186" t="n">
        <v>43.01</v>
      </c>
      <c r="H186" t="n">
        <v>0.430088234623321</v>
      </c>
      <c r="I186" t="inlineStr">
        <is>
          <t>elo_sp</t>
        </is>
      </c>
      <c r="J186" t="inlineStr">
        <is>
          <t>cancel</t>
        </is>
      </c>
      <c r="K186">
        <f>IF(AND(J186&lt;&gt;"", OR(J186=0, J186=1)), IF(ROUND(H186,0)=J186, 1, 0), "")</f>
        <v/>
      </c>
    </row>
    <row r="187">
      <c r="A187" t="n">
        <v>20260231</v>
      </c>
      <c r="B187" t="inlineStr">
        <is>
          <t>2026-05-21</t>
        </is>
      </c>
      <c r="C187" t="inlineStr">
        <is>
          <t>두산</t>
        </is>
      </c>
      <c r="D187" t="inlineStr">
        <is>
          <t>NC</t>
        </is>
      </c>
      <c r="E187" t="n">
        <v>6002</v>
      </c>
      <c r="F187" t="n">
        <v>11001</v>
      </c>
      <c r="G187" t="n">
        <v>63.31</v>
      </c>
      <c r="H187" t="n">
        <v>0.633149786358988</v>
      </c>
      <c r="I187" t="inlineStr">
        <is>
          <t>elo_sp</t>
        </is>
      </c>
      <c r="J187" t="n">
        <v>1</v>
      </c>
      <c r="K187">
        <f>IF(AND(J187&lt;&gt;"", OR(J187=0, J187=1)), IF(ROUND(H187,0)=J187, 1, 0), "")</f>
        <v/>
      </c>
    </row>
    <row r="188">
      <c r="A188" t="n">
        <v>20260232</v>
      </c>
      <c r="B188" t="inlineStr">
        <is>
          <t>2026-05-21</t>
        </is>
      </c>
      <c r="C188" t="inlineStr">
        <is>
          <t>키움</t>
        </is>
      </c>
      <c r="D188" t="inlineStr">
        <is>
          <t>SSG</t>
        </is>
      </c>
      <c r="E188" t="n">
        <v>10001</v>
      </c>
      <c r="F188" t="n">
        <v>9002</v>
      </c>
      <c r="G188" t="n">
        <v>75.73999999999999</v>
      </c>
      <c r="H188" t="n">
        <v>0.7574052619681708</v>
      </c>
      <c r="I188" t="inlineStr">
        <is>
          <t>elo_sp</t>
        </is>
      </c>
      <c r="J188" t="n">
        <v>1</v>
      </c>
      <c r="K188">
        <f>IF(AND(J188&lt;&gt;"", OR(J188=0, J188=1)), IF(ROUND(H188,0)=J188, 1, 0), "")</f>
        <v/>
      </c>
    </row>
    <row r="189">
      <c r="A189" t="n">
        <v>20260233</v>
      </c>
      <c r="B189" t="inlineStr">
        <is>
          <t>2026-05-21</t>
        </is>
      </c>
      <c r="C189" t="inlineStr">
        <is>
          <t>한화</t>
        </is>
      </c>
      <c r="D189" t="inlineStr">
        <is>
          <t>롯데</t>
        </is>
      </c>
      <c r="E189" t="n">
        <v>7002</v>
      </c>
      <c r="F189" t="n">
        <v>3001</v>
      </c>
      <c r="G189" t="n">
        <v>50.47</v>
      </c>
      <c r="H189" t="n">
        <v>0.5046553258642419</v>
      </c>
      <c r="I189" t="inlineStr">
        <is>
          <t>elo_sp</t>
        </is>
      </c>
      <c r="J189" t="n">
        <v>0</v>
      </c>
      <c r="K189">
        <f>IF(AND(J189&lt;&gt;"", OR(J189=0, J189=1)), IF(ROUND(H189,0)=J189, 1, 0), "")</f>
        <v/>
      </c>
    </row>
    <row r="190">
      <c r="A190" t="n">
        <v>20260234</v>
      </c>
      <c r="B190" t="inlineStr">
        <is>
          <t>2026-05-21</t>
        </is>
      </c>
      <c r="C190" t="inlineStr">
        <is>
          <t>삼성</t>
        </is>
      </c>
      <c r="D190" t="inlineStr">
        <is>
          <t>KT</t>
        </is>
      </c>
      <c r="E190" t="n">
        <v>1001</v>
      </c>
      <c r="F190" t="n">
        <v>12001</v>
      </c>
      <c r="G190" t="n">
        <v>49.92</v>
      </c>
      <c r="H190" t="n">
        <v>0.4992232070098261</v>
      </c>
      <c r="I190" t="inlineStr">
        <is>
          <t>elo_sp</t>
        </is>
      </c>
      <c r="J190" t="n">
        <v>1</v>
      </c>
      <c r="K190">
        <f>IF(AND(J190&lt;&gt;"", OR(J190=0, J190=1)), IF(ROUND(H190,0)=J190, 1, 0), "")</f>
        <v/>
      </c>
    </row>
    <row r="191">
      <c r="A191" t="n">
        <v>20260235</v>
      </c>
      <c r="B191" t="inlineStr">
        <is>
          <t>2026-05-21</t>
        </is>
      </c>
      <c r="C191" t="inlineStr">
        <is>
          <t>KIA</t>
        </is>
      </c>
      <c r="D191" t="inlineStr">
        <is>
          <t>LG</t>
        </is>
      </c>
      <c r="E191" t="n">
        <v>2002</v>
      </c>
      <c r="F191" t="n">
        <v>5002</v>
      </c>
      <c r="G191" t="n">
        <v>58.24</v>
      </c>
      <c r="H191" t="n">
        <v>0.582413640211582</v>
      </c>
      <c r="I191" t="inlineStr">
        <is>
          <t>elo_sp</t>
        </is>
      </c>
      <c r="J191" t="n">
        <v>0</v>
      </c>
      <c r="K191">
        <f>IF(AND(J191&lt;&gt;"", OR(J191=0, J191=1)), IF(ROUND(H191,0)=J191, 1, 0), "")</f>
        <v/>
      </c>
    </row>
    <row r="192">
      <c r="A192" t="n">
        <v>20260236</v>
      </c>
      <c r="B192" t="inlineStr">
        <is>
          <t>2026-05-22</t>
        </is>
      </c>
      <c r="C192" t="inlineStr">
        <is>
          <t>LG</t>
        </is>
      </c>
      <c r="D192" t="inlineStr">
        <is>
          <t>키움</t>
        </is>
      </c>
      <c r="E192" t="n">
        <v>5002</v>
      </c>
      <c r="F192" t="n">
        <v>10001</v>
      </c>
      <c r="G192" t="n">
        <v>46.22</v>
      </c>
      <c r="H192" t="n">
        <v>0.4621925024641946</v>
      </c>
      <c r="I192" t="inlineStr">
        <is>
          <t>elo_sp</t>
        </is>
      </c>
      <c r="J192" t="n">
        <v>0</v>
      </c>
      <c r="K192">
        <f>IF(AND(J192&lt;&gt;"", OR(J192=0, J192=1)), IF(ROUND(H192,0)=J192, 1, 0), "")</f>
        <v/>
      </c>
    </row>
    <row r="193">
      <c r="A193" t="n">
        <v>20260237</v>
      </c>
      <c r="B193" t="inlineStr">
        <is>
          <t>2026-05-22</t>
        </is>
      </c>
      <c r="C193" t="inlineStr">
        <is>
          <t>KT</t>
        </is>
      </c>
      <c r="D193" t="inlineStr">
        <is>
          <t>NC</t>
        </is>
      </c>
      <c r="E193" t="n">
        <v>12001</v>
      </c>
      <c r="F193" t="n">
        <v>11001</v>
      </c>
      <c r="G193" t="n">
        <v>36.63</v>
      </c>
      <c r="H193" t="n">
        <v>0.3662582387045195</v>
      </c>
      <c r="I193" t="inlineStr">
        <is>
          <t>elo_sp</t>
        </is>
      </c>
      <c r="J193" t="n">
        <v>1</v>
      </c>
      <c r="K193">
        <f>IF(AND(J193&lt;&gt;"", OR(J193=0, J193=1)), IF(ROUND(H193,0)=J193, 1, 0), "")</f>
        <v/>
      </c>
    </row>
    <row r="194">
      <c r="A194" t="n">
        <v>20260238</v>
      </c>
      <c r="B194" t="inlineStr">
        <is>
          <t>2026-05-22</t>
        </is>
      </c>
      <c r="C194" t="inlineStr">
        <is>
          <t>한화</t>
        </is>
      </c>
      <c r="D194" t="inlineStr">
        <is>
          <t>두산</t>
        </is>
      </c>
      <c r="E194" t="n">
        <v>7002</v>
      </c>
      <c r="F194" t="n">
        <v>6002</v>
      </c>
      <c r="G194" t="n">
        <v>45.68</v>
      </c>
      <c r="H194" t="n">
        <v>0.4568436069799178</v>
      </c>
      <c r="I194" t="inlineStr">
        <is>
          <t>elo_sp</t>
        </is>
      </c>
      <c r="J194" t="n">
        <v>1</v>
      </c>
      <c r="K194">
        <f>IF(AND(J194&lt;&gt;"", OR(J194=0, J194=1)), IF(ROUND(H194,0)=J194, 1, 0), "")</f>
        <v/>
      </c>
    </row>
    <row r="195">
      <c r="A195" t="n">
        <v>20260239</v>
      </c>
      <c r="B195" t="inlineStr">
        <is>
          <t>2026-05-22</t>
        </is>
      </c>
      <c r="C195" t="inlineStr">
        <is>
          <t>KIA</t>
        </is>
      </c>
      <c r="D195" t="inlineStr">
        <is>
          <t>SSG</t>
        </is>
      </c>
      <c r="E195" t="n">
        <v>2002</v>
      </c>
      <c r="F195" t="n">
        <v>9002</v>
      </c>
      <c r="G195" t="n">
        <v>51.29</v>
      </c>
      <c r="H195" t="n">
        <v>0.5128556736512051</v>
      </c>
      <c r="I195" t="inlineStr">
        <is>
          <t>elo_sp</t>
        </is>
      </c>
      <c r="J195" t="n">
        <v>1</v>
      </c>
      <c r="K195">
        <f>IF(AND(J195&lt;&gt;"", OR(J195=0, J195=1)), IF(ROUND(H195,0)=J195, 1, 0), "")</f>
        <v/>
      </c>
    </row>
    <row r="196">
      <c r="A196" t="n">
        <v>20260240</v>
      </c>
      <c r="B196" t="inlineStr">
        <is>
          <t>2026-05-22</t>
        </is>
      </c>
      <c r="C196" t="inlineStr">
        <is>
          <t>롯데</t>
        </is>
      </c>
      <c r="D196" t="inlineStr">
        <is>
          <t>삼성</t>
        </is>
      </c>
      <c r="E196" t="n">
        <v>3001</v>
      </c>
      <c r="F196" t="n">
        <v>1001</v>
      </c>
      <c r="G196" t="n">
        <v>46.47</v>
      </c>
      <c r="H196" t="n">
        <v>0.4646808249743677</v>
      </c>
      <c r="I196" t="inlineStr">
        <is>
          <t>elo_sp</t>
        </is>
      </c>
      <c r="J196" t="n">
        <v>0</v>
      </c>
      <c r="K196">
        <f>IF(AND(J196&lt;&gt;"", OR(J196=0, J196=1)), IF(ROUND(H196,0)=J196, 1, 0), "")</f>
        <v/>
      </c>
    </row>
    <row r="197">
      <c r="A197" t="n">
        <v>20260241</v>
      </c>
      <c r="B197" t="inlineStr">
        <is>
          <t>2026-05-23</t>
        </is>
      </c>
      <c r="C197" t="inlineStr">
        <is>
          <t>LG</t>
        </is>
      </c>
      <c r="D197" t="inlineStr">
        <is>
          <t>키움</t>
        </is>
      </c>
      <c r="E197" t="n">
        <v>5002</v>
      </c>
      <c r="F197" t="n">
        <v>10001</v>
      </c>
      <c r="G197" t="n">
        <v>43.37</v>
      </c>
      <c r="H197" t="n">
        <v>0.4336731819442711</v>
      </c>
      <c r="I197" t="inlineStr">
        <is>
          <t>elo_sp</t>
        </is>
      </c>
      <c r="J197" t="n">
        <v>1</v>
      </c>
      <c r="K197">
        <f>IF(AND(J197&lt;&gt;"", OR(J197=0, J197=1)), IF(ROUND(H197,0)=J197, 1, 0), "")</f>
        <v/>
      </c>
    </row>
    <row r="198">
      <c r="A198" t="n">
        <v>20260242</v>
      </c>
      <c r="B198" t="inlineStr">
        <is>
          <t>2026-05-23</t>
        </is>
      </c>
      <c r="C198" t="inlineStr">
        <is>
          <t>KT</t>
        </is>
      </c>
      <c r="D198" t="inlineStr">
        <is>
          <t>NC</t>
        </is>
      </c>
      <c r="E198" t="n">
        <v>12001</v>
      </c>
      <c r="F198" t="n">
        <v>11001</v>
      </c>
      <c r="G198" t="n">
        <v>46.58</v>
      </c>
      <c r="H198" t="n">
        <v>0.4657601558769209</v>
      </c>
      <c r="I198" t="inlineStr">
        <is>
          <t>elo_sp</t>
        </is>
      </c>
      <c r="J198" t="n">
        <v>1</v>
      </c>
      <c r="K198">
        <f>IF(AND(J198&lt;&gt;"", OR(J198=0, J198=1)), IF(ROUND(H198,0)=J198, 1, 0), "")</f>
        <v/>
      </c>
    </row>
    <row r="199">
      <c r="A199" t="n">
        <v>20260243</v>
      </c>
      <c r="B199" t="inlineStr">
        <is>
          <t>2026-05-23</t>
        </is>
      </c>
      <c r="C199" t="inlineStr">
        <is>
          <t>한화</t>
        </is>
      </c>
      <c r="D199" t="inlineStr">
        <is>
          <t>두산</t>
        </is>
      </c>
      <c r="E199" t="n">
        <v>7002</v>
      </c>
      <c r="F199" t="n">
        <v>6002</v>
      </c>
      <c r="G199" t="n">
        <v>52.76</v>
      </c>
      <c r="H199" t="n">
        <v>0.5276204079704331</v>
      </c>
      <c r="I199" t="inlineStr">
        <is>
          <t>elo_sp</t>
        </is>
      </c>
      <c r="J199" t="n">
        <v>1</v>
      </c>
      <c r="K199">
        <f>IF(AND(J199&lt;&gt;"", OR(J199=0, J199=1)), IF(ROUND(H199,0)=J199, 1, 0), "")</f>
        <v/>
      </c>
    </row>
    <row r="200">
      <c r="A200" t="n">
        <v>20260244</v>
      </c>
      <c r="B200" t="inlineStr">
        <is>
          <t>2026-05-23</t>
        </is>
      </c>
      <c r="C200" t="inlineStr">
        <is>
          <t>KIA</t>
        </is>
      </c>
      <c r="D200" t="inlineStr">
        <is>
          <t>SSG</t>
        </is>
      </c>
      <c r="E200" t="n">
        <v>2002</v>
      </c>
      <c r="F200" t="n">
        <v>9002</v>
      </c>
      <c r="G200" t="n">
        <v>51.48</v>
      </c>
      <c r="H200" t="n">
        <v>0.5148380837810158</v>
      </c>
      <c r="I200" t="inlineStr">
        <is>
          <t>elo_sp</t>
        </is>
      </c>
      <c r="J200" t="n">
        <v>1</v>
      </c>
      <c r="K200">
        <f>IF(AND(J200&lt;&gt;"", OR(J200=0, J200=1)), IF(ROUND(H200,0)=J200, 1, 0), "")</f>
        <v/>
      </c>
    </row>
    <row r="201">
      <c r="A201" t="n">
        <v>20260245</v>
      </c>
      <c r="B201" t="inlineStr">
        <is>
          <t>2026-05-23</t>
        </is>
      </c>
      <c r="C201" t="inlineStr">
        <is>
          <t>롯데</t>
        </is>
      </c>
      <c r="D201" t="inlineStr">
        <is>
          <t>삼성</t>
        </is>
      </c>
      <c r="E201" t="n">
        <v>3001</v>
      </c>
      <c r="F201" t="n">
        <v>1001</v>
      </c>
      <c r="G201" t="n">
        <v>43.71</v>
      </c>
      <c r="H201" t="n">
        <v>0.4371442096479888</v>
      </c>
      <c r="I201" t="inlineStr">
        <is>
          <t>elo_sp</t>
        </is>
      </c>
      <c r="J201" t="n">
        <v>1</v>
      </c>
      <c r="K201">
        <f>IF(AND(J201&lt;&gt;"", OR(J201=0, J201=1)), IF(ROUND(H201,0)=J201, 1, 0), "")</f>
        <v/>
      </c>
    </row>
    <row r="202">
      <c r="A202" t="n">
        <v>20260246</v>
      </c>
      <c r="B202" t="inlineStr">
        <is>
          <t>2026-05-24</t>
        </is>
      </c>
      <c r="C202" t="inlineStr">
        <is>
          <t>LG</t>
        </is>
      </c>
      <c r="D202" t="inlineStr">
        <is>
          <t>키움</t>
        </is>
      </c>
      <c r="E202" t="n">
        <v>5002</v>
      </c>
      <c r="F202" t="n">
        <v>10001</v>
      </c>
      <c r="G202" t="n">
        <v>38.38</v>
      </c>
      <c r="H202" t="n">
        <v>0.3837833489049133</v>
      </c>
      <c r="I202" t="inlineStr">
        <is>
          <t>elo_sp</t>
        </is>
      </c>
      <c r="J202" t="n">
        <v>1</v>
      </c>
      <c r="K202">
        <f>IF(AND(J202&lt;&gt;"", OR(J202=0, J202=1)), IF(ROUND(H202,0)=J202, 1, 0), "")</f>
        <v/>
      </c>
    </row>
    <row r="203">
      <c r="A203" t="n">
        <v>20260247</v>
      </c>
      <c r="B203" t="inlineStr">
        <is>
          <t>2026-05-24</t>
        </is>
      </c>
      <c r="C203" t="inlineStr">
        <is>
          <t>KT</t>
        </is>
      </c>
      <c r="D203" t="inlineStr">
        <is>
          <t>NC</t>
        </is>
      </c>
      <c r="E203" t="n">
        <v>12001</v>
      </c>
      <c r="F203" t="n">
        <v>11001</v>
      </c>
      <c r="G203" t="n">
        <v>44.14</v>
      </c>
      <c r="H203" t="n">
        <v>0.4414429192658343</v>
      </c>
      <c r="I203" t="inlineStr">
        <is>
          <t>elo_sp</t>
        </is>
      </c>
      <c r="J203" t="n">
        <v>0</v>
      </c>
      <c r="K203">
        <f>IF(AND(J203&lt;&gt;"", OR(J203=0, J203=1)), IF(ROUND(H203,0)=J203, 1, 0), "")</f>
        <v/>
      </c>
    </row>
    <row r="204">
      <c r="A204" t="n">
        <v>20260248</v>
      </c>
      <c r="B204" t="inlineStr">
        <is>
          <t>2026-05-24</t>
        </is>
      </c>
      <c r="C204" t="inlineStr">
        <is>
          <t>한화</t>
        </is>
      </c>
      <c r="D204" t="inlineStr">
        <is>
          <t>두산</t>
        </is>
      </c>
      <c r="E204" t="n">
        <v>7002</v>
      </c>
      <c r="F204" t="n">
        <v>6002</v>
      </c>
      <c r="G204" t="n">
        <v>58.62</v>
      </c>
      <c r="H204" t="n">
        <v>0.5861949647266</v>
      </c>
      <c r="I204" t="inlineStr">
        <is>
          <t>elo_sp</t>
        </is>
      </c>
      <c r="J204" t="n">
        <v>1</v>
      </c>
      <c r="K204">
        <f>IF(AND(J204&lt;&gt;"", OR(J204=0, J204=1)), IF(ROUND(H204,0)=J204, 1, 0), "")</f>
        <v/>
      </c>
    </row>
    <row r="205">
      <c r="A205" t="n">
        <v>20260249</v>
      </c>
      <c r="B205" t="inlineStr">
        <is>
          <t>2026-05-24</t>
        </is>
      </c>
      <c r="C205" t="inlineStr">
        <is>
          <t>KIA</t>
        </is>
      </c>
      <c r="D205" t="inlineStr">
        <is>
          <t>SSG</t>
        </is>
      </c>
      <c r="E205" t="n">
        <v>2002</v>
      </c>
      <c r="F205" t="n">
        <v>9002</v>
      </c>
      <c r="G205" t="n">
        <v>76.31999999999999</v>
      </c>
      <c r="H205" t="n">
        <v>0.7631603519578757</v>
      </c>
      <c r="I205" t="inlineStr">
        <is>
          <t>elo_sp</t>
        </is>
      </c>
      <c r="J205" t="n">
        <v>1</v>
      </c>
      <c r="K205">
        <f>IF(AND(J205&lt;&gt;"", OR(J205=0, J205=1)), IF(ROUND(H205,0)=J205, 1, 0), "")</f>
        <v/>
      </c>
    </row>
    <row r="206">
      <c r="A206" t="n">
        <v>20260250</v>
      </c>
      <c r="B206" t="inlineStr">
        <is>
          <t>2026-05-24</t>
        </is>
      </c>
      <c r="C206" t="inlineStr">
        <is>
          <t>롯데</t>
        </is>
      </c>
      <c r="D206" t="inlineStr">
        <is>
          <t>삼성</t>
        </is>
      </c>
      <c r="E206" t="n">
        <v>3001</v>
      </c>
      <c r="F206" t="n">
        <v>1001</v>
      </c>
      <c r="G206" t="n">
        <v>50.72</v>
      </c>
      <c r="H206" t="n">
        <v>0.5072443902690881</v>
      </c>
      <c r="I206" t="inlineStr">
        <is>
          <t>elo_sp</t>
        </is>
      </c>
      <c r="J206" t="n">
        <v>0</v>
      </c>
      <c r="K206">
        <f>IF(AND(J206&lt;&gt;"", OR(J206=0, J206=1)), IF(ROUND(H206,0)=J206, 1, 0), "")</f>
        <v/>
      </c>
    </row>
    <row r="207">
      <c r="A207" t="n">
        <v>20260251</v>
      </c>
      <c r="B207" t="inlineStr">
        <is>
          <t>2026-05-26</t>
        </is>
      </c>
      <c r="C207" t="inlineStr">
        <is>
          <t>두산</t>
        </is>
      </c>
      <c r="D207" t="inlineStr">
        <is>
          <t>KT</t>
        </is>
      </c>
      <c r="E207" t="n">
        <v>6002</v>
      </c>
      <c r="F207" t="n">
        <v>12001</v>
      </c>
      <c r="G207" t="n">
        <v>57</v>
      </c>
      <c r="H207" t="n">
        <v>0.5700060191523875</v>
      </c>
      <c r="I207" t="inlineStr">
        <is>
          <t>elo_sp</t>
        </is>
      </c>
      <c r="J207" t="n">
        <v>0</v>
      </c>
      <c r="K207">
        <f>IF(AND(J207&lt;&gt;"", OR(J207=0, J207=1)), IF(ROUND(H207,0)=J207, 1, 0), "")</f>
        <v/>
      </c>
    </row>
    <row r="208">
      <c r="A208" t="n">
        <v>20260252</v>
      </c>
      <c r="B208" t="inlineStr">
        <is>
          <t>2026-05-26</t>
        </is>
      </c>
      <c r="C208" t="inlineStr">
        <is>
          <t>키움</t>
        </is>
      </c>
      <c r="D208" t="inlineStr">
        <is>
          <t>KIA</t>
        </is>
      </c>
      <c r="E208" t="n">
        <v>10001</v>
      </c>
      <c r="F208" t="n">
        <v>2002</v>
      </c>
      <c r="G208" t="n">
        <v>83.2</v>
      </c>
      <c r="H208" t="n">
        <v>0.8319906696089847</v>
      </c>
      <c r="I208" t="inlineStr">
        <is>
          <t>elo_sp</t>
        </is>
      </c>
      <c r="J208" t="n">
        <v>0</v>
      </c>
      <c r="K208">
        <f>IF(AND(J208&lt;&gt;"", OR(J208=0, J208=1)), IF(ROUND(H208,0)=J208, 1, 0), "")</f>
        <v/>
      </c>
    </row>
    <row r="209">
      <c r="A209" t="n">
        <v>20260253</v>
      </c>
      <c r="B209" t="inlineStr">
        <is>
          <t>2026-05-26</t>
        </is>
      </c>
      <c r="C209" t="inlineStr">
        <is>
          <t>SSG</t>
        </is>
      </c>
      <c r="D209" t="inlineStr">
        <is>
          <t>삼성</t>
        </is>
      </c>
      <c r="E209" t="n">
        <v>9002</v>
      </c>
      <c r="F209" t="n">
        <v>1001</v>
      </c>
      <c r="G209" t="n">
        <v>30.97</v>
      </c>
      <c r="H209" t="n">
        <v>0.3096860741230513</v>
      </c>
      <c r="I209" t="inlineStr">
        <is>
          <t>elo_sp</t>
        </is>
      </c>
      <c r="J209" t="inlineStr">
        <is>
          <t>cancel</t>
        </is>
      </c>
      <c r="K209">
        <f>IF(AND(J209&lt;&gt;"", OR(J209=0, J209=1)), IF(ROUND(H209,0)=J209, 1, 0), "")</f>
        <v/>
      </c>
    </row>
    <row r="210">
      <c r="A210" t="n">
        <v>20260254</v>
      </c>
      <c r="B210" t="inlineStr">
        <is>
          <t>2026-05-26</t>
        </is>
      </c>
      <c r="C210" t="inlineStr">
        <is>
          <t>롯데</t>
        </is>
      </c>
      <c r="D210" t="inlineStr">
        <is>
          <t>LG</t>
        </is>
      </c>
      <c r="E210" t="n">
        <v>3001</v>
      </c>
      <c r="F210" t="n">
        <v>5002</v>
      </c>
      <c r="G210" t="n">
        <v>53.44</v>
      </c>
      <c r="H210" t="n">
        <v>0.5344126973283649</v>
      </c>
      <c r="I210" t="inlineStr">
        <is>
          <t>elo_sp</t>
        </is>
      </c>
      <c r="J210" t="n">
        <v>0</v>
      </c>
      <c r="K210">
        <f>IF(AND(J210&lt;&gt;"", OR(J210=0, J210=1)), IF(ROUND(H210,0)=J210, 1, 0), "")</f>
        <v/>
      </c>
    </row>
    <row r="211">
      <c r="A211" t="n">
        <v>20260255</v>
      </c>
      <c r="B211" t="inlineStr">
        <is>
          <t>2026-05-26</t>
        </is>
      </c>
      <c r="C211" t="inlineStr">
        <is>
          <t>NC</t>
        </is>
      </c>
      <c r="D211" t="inlineStr">
        <is>
          <t>한화</t>
        </is>
      </c>
      <c r="E211" t="n">
        <v>11001</v>
      </c>
      <c r="F211" t="n">
        <v>7002</v>
      </c>
      <c r="G211" t="n">
        <v>42.96</v>
      </c>
      <c r="H211" t="n">
        <v>0.4295792783876461</v>
      </c>
      <c r="I211" t="inlineStr">
        <is>
          <t>elo_sp</t>
        </is>
      </c>
      <c r="J211" t="inlineStr">
        <is>
          <t>cancel</t>
        </is>
      </c>
      <c r="K211">
        <f>IF(AND(J211&lt;&gt;"", OR(J211=0, J211=1)), IF(ROUND(H211,0)=J211, 1, 0), "")</f>
        <v/>
      </c>
    </row>
    <row r="212">
      <c r="A212" t="n">
        <v>20260256</v>
      </c>
      <c r="B212" t="inlineStr">
        <is>
          <t>2026-05-27</t>
        </is>
      </c>
      <c r="C212" t="inlineStr">
        <is>
          <t>두산</t>
        </is>
      </c>
      <c r="D212" t="inlineStr">
        <is>
          <t>KT</t>
        </is>
      </c>
      <c r="E212" t="n">
        <v>6002</v>
      </c>
      <c r="F212" t="n">
        <v>12001</v>
      </c>
      <c r="G212" t="n">
        <v>42.24</v>
      </c>
      <c r="H212" t="n">
        <v>0.4223976108953089</v>
      </c>
      <c r="I212" t="inlineStr">
        <is>
          <t>elo_full</t>
        </is>
      </c>
      <c r="J212" t="n">
        <v>1</v>
      </c>
      <c r="K212">
        <f>IF(AND(J212&lt;&gt;"", OR(J212=0, J212=1)), IF(ROUND(H212,0)=J212, 1, 0), "")</f>
        <v/>
      </c>
    </row>
    <row r="213">
      <c r="A213" t="n">
        <v>20260257</v>
      </c>
      <c r="B213" t="inlineStr">
        <is>
          <t>2026-05-27</t>
        </is>
      </c>
      <c r="C213" t="inlineStr">
        <is>
          <t>키움</t>
        </is>
      </c>
      <c r="D213" t="inlineStr">
        <is>
          <t>KIA</t>
        </is>
      </c>
      <c r="E213" t="n">
        <v>10001</v>
      </c>
      <c r="F213" t="n">
        <v>2002</v>
      </c>
      <c r="G213" t="n">
        <v>38.1</v>
      </c>
      <c r="H213" t="n">
        <v>0.3809652290735916</v>
      </c>
      <c r="I213" t="inlineStr">
        <is>
          <t>elo_full</t>
        </is>
      </c>
      <c r="J213" t="n">
        <v>0</v>
      </c>
      <c r="K213">
        <f>IF(AND(J213&lt;&gt;"", OR(J213=0, J213=1)), IF(ROUND(H213,0)=J213, 1, 0), "")</f>
        <v/>
      </c>
    </row>
    <row r="214">
      <c r="A214" t="n">
        <v>20260258</v>
      </c>
      <c r="B214" t="inlineStr">
        <is>
          <t>2026-05-27</t>
        </is>
      </c>
      <c r="C214" t="inlineStr">
        <is>
          <t>SSG</t>
        </is>
      </c>
      <c r="D214" t="inlineStr">
        <is>
          <t>삼성</t>
        </is>
      </c>
      <c r="E214" t="n">
        <v>9002</v>
      </c>
      <c r="F214" t="n">
        <v>1001</v>
      </c>
      <c r="G214" t="n">
        <v>20.74</v>
      </c>
      <c r="H214" t="n">
        <v>0.2073629709937675</v>
      </c>
      <c r="I214" t="inlineStr">
        <is>
          <t>elo_full</t>
        </is>
      </c>
      <c r="J214" t="n">
        <v>0</v>
      </c>
      <c r="K214">
        <f>IF(AND(J214&lt;&gt;"", OR(J214=0, J214=1)), IF(ROUND(H214,0)=J214, 1, 0), "")</f>
        <v/>
      </c>
    </row>
    <row r="215">
      <c r="A215" t="n">
        <v>20260259</v>
      </c>
      <c r="B215" t="inlineStr">
        <is>
          <t>2026-05-27</t>
        </is>
      </c>
      <c r="C215" t="inlineStr">
        <is>
          <t>롯데</t>
        </is>
      </c>
      <c r="D215" t="inlineStr">
        <is>
          <t>LG</t>
        </is>
      </c>
      <c r="E215" t="n">
        <v>3001</v>
      </c>
      <c r="F215" t="n">
        <v>5002</v>
      </c>
      <c r="G215" t="n">
        <v>59.92</v>
      </c>
      <c r="H215" t="n">
        <v>0.599181647865501</v>
      </c>
      <c r="I215" t="inlineStr">
        <is>
          <t>elo_full</t>
        </is>
      </c>
      <c r="J215" t="n">
        <v>0</v>
      </c>
      <c r="K215">
        <f>IF(AND(J215&lt;&gt;"", OR(J215=0, J215=1)), IF(ROUND(H215,0)=J215, 1, 0), "")</f>
        <v/>
      </c>
    </row>
    <row r="216">
      <c r="A216" t="n">
        <v>20260260</v>
      </c>
      <c r="B216" t="inlineStr">
        <is>
          <t>2026-05-27</t>
        </is>
      </c>
      <c r="C216" t="inlineStr">
        <is>
          <t>NC</t>
        </is>
      </c>
      <c r="D216" t="inlineStr">
        <is>
          <t>한화</t>
        </is>
      </c>
      <c r="E216" t="n">
        <v>11001</v>
      </c>
      <c r="F216" t="n">
        <v>7002</v>
      </c>
      <c r="G216" t="n">
        <v>44.41</v>
      </c>
      <c r="H216" t="n">
        <v>0.4440588662255105</v>
      </c>
      <c r="I216" t="inlineStr">
        <is>
          <t>elo_full</t>
        </is>
      </c>
      <c r="J216" t="n">
        <v>1</v>
      </c>
      <c r="K216">
        <f>IF(AND(J216&lt;&gt;"", OR(J216=0, J216=1)), IF(ROUND(H216,0)=J216, 1, 0), "")</f>
        <v/>
      </c>
    </row>
    <row r="217">
      <c r="A217" t="n">
        <v>20260261</v>
      </c>
      <c r="B217" t="inlineStr">
        <is>
          <t>2026-05-28</t>
        </is>
      </c>
      <c r="C217" t="inlineStr">
        <is>
          <t>두산</t>
        </is>
      </c>
      <c r="D217" t="inlineStr">
        <is>
          <t>KT</t>
        </is>
      </c>
      <c r="E217" t="n">
        <v>6002</v>
      </c>
      <c r="F217" t="n">
        <v>12001</v>
      </c>
      <c r="G217" t="n">
        <v>57.79</v>
      </c>
      <c r="H217" t="n">
        <v>0.5778839309521245</v>
      </c>
      <c r="I217" t="inlineStr">
        <is>
          <t>elo_sp</t>
        </is>
      </c>
      <c r="J217" t="n">
        <v>0</v>
      </c>
      <c r="K217">
        <f>IF(AND(J217&lt;&gt;"", OR(J217=0, J217=1)), IF(ROUND(H217,0)=J217, 1, 0), "")</f>
        <v/>
      </c>
    </row>
    <row r="218">
      <c r="A218" t="n">
        <v>20260262</v>
      </c>
      <c r="B218" t="inlineStr">
        <is>
          <t>2026-05-28</t>
        </is>
      </c>
      <c r="C218" t="inlineStr">
        <is>
          <t>키움</t>
        </is>
      </c>
      <c r="D218" t="inlineStr">
        <is>
          <t>KIA</t>
        </is>
      </c>
      <c r="E218" t="n">
        <v>10001</v>
      </c>
      <c r="F218" t="n">
        <v>2002</v>
      </c>
      <c r="G218" t="n">
        <v>70.2</v>
      </c>
      <c r="H218" t="n">
        <v>0.7020440646037398</v>
      </c>
      <c r="I218" t="inlineStr">
        <is>
          <t>elo_sp</t>
        </is>
      </c>
      <c r="J218" t="n">
        <v>0</v>
      </c>
      <c r="K218">
        <f>IF(AND(J218&lt;&gt;"", OR(J218=0, J218=1)), IF(ROUND(H218,0)=J218, 1, 0), "")</f>
        <v/>
      </c>
    </row>
    <row r="219">
      <c r="A219" t="n">
        <v>20260263</v>
      </c>
      <c r="B219" t="inlineStr">
        <is>
          <t>2026-05-28</t>
        </is>
      </c>
      <c r="C219" t="inlineStr">
        <is>
          <t>SSG</t>
        </is>
      </c>
      <c r="D219" t="inlineStr">
        <is>
          <t>삼성</t>
        </is>
      </c>
      <c r="E219" t="n">
        <v>9002</v>
      </c>
      <c r="F219" t="n">
        <v>1001</v>
      </c>
      <c r="G219" t="n">
        <v>29.39</v>
      </c>
      <c r="H219" t="n">
        <v>0.2938859123665157</v>
      </c>
      <c r="I219" t="inlineStr">
        <is>
          <t>elo_sp</t>
        </is>
      </c>
      <c r="J219" t="n">
        <v>0</v>
      </c>
      <c r="K219">
        <f>IF(AND(J219&lt;&gt;"", OR(J219=0, J219=1)), IF(ROUND(H219,0)=J219, 1, 0), "")</f>
        <v/>
      </c>
    </row>
    <row r="220">
      <c r="A220" t="n">
        <v>20260264</v>
      </c>
      <c r="B220" t="inlineStr">
        <is>
          <t>2026-05-28</t>
        </is>
      </c>
      <c r="C220" t="inlineStr">
        <is>
          <t>롯데</t>
        </is>
      </c>
      <c r="D220" t="inlineStr">
        <is>
          <t>LG</t>
        </is>
      </c>
      <c r="E220" t="n">
        <v>3001</v>
      </c>
      <c r="F220" t="n">
        <v>5002</v>
      </c>
      <c r="G220" t="n">
        <v>58.42</v>
      </c>
      <c r="H220" t="n">
        <v>0.5841732462870592</v>
      </c>
      <c r="I220" t="inlineStr">
        <is>
          <t>elo_sp</t>
        </is>
      </c>
      <c r="J220" t="n">
        <v>1</v>
      </c>
      <c r="K220">
        <f>IF(AND(J220&lt;&gt;"", OR(J220=0, J220=1)), IF(ROUND(H220,0)=J220, 1, 0), "")</f>
        <v/>
      </c>
    </row>
    <row r="221">
      <c r="A221" t="n">
        <v>20260265</v>
      </c>
      <c r="B221" t="inlineStr">
        <is>
          <t>2026-05-28</t>
        </is>
      </c>
      <c r="C221" t="inlineStr">
        <is>
          <t>NC</t>
        </is>
      </c>
      <c r="D221" t="inlineStr">
        <is>
          <t>한화</t>
        </is>
      </c>
      <c r="E221" t="n">
        <v>11001</v>
      </c>
      <c r="F221" t="n">
        <v>7002</v>
      </c>
      <c r="G221" t="n">
        <v>48.92</v>
      </c>
      <c r="H221" t="n">
        <v>0.4891740538322265</v>
      </c>
      <c r="I221" t="inlineStr">
        <is>
          <t>elo_sp</t>
        </is>
      </c>
      <c r="J221" t="n">
        <v>0</v>
      </c>
      <c r="K221">
        <f>IF(AND(J221&lt;&gt;"", OR(J221=0, J221=1)), IF(ROUND(H221,0)=J221, 1, 0), "")</f>
        <v/>
      </c>
    </row>
    <row r="222">
      <c r="A222" t="n">
        <v>20260266</v>
      </c>
      <c r="B222" t="inlineStr">
        <is>
          <t>2026-05-29</t>
        </is>
      </c>
      <c r="C222" t="inlineStr">
        <is>
          <t>LG</t>
        </is>
      </c>
      <c r="D222" t="inlineStr">
        <is>
          <t>KIA</t>
        </is>
      </c>
      <c r="E222" t="n">
        <v>5002</v>
      </c>
      <c r="F222" t="n">
        <v>2002</v>
      </c>
      <c r="G222" t="n">
        <v>67.45999999999999</v>
      </c>
      <c r="H222" t="n">
        <v>0.6746390316024382</v>
      </c>
      <c r="I222" t="inlineStr">
        <is>
          <t>elo_sp</t>
        </is>
      </c>
      <c r="J222" t="n">
        <v>1</v>
      </c>
      <c r="K222">
        <f>IF(AND(J222&lt;&gt;"", OR(J222=0, J222=1)), IF(ROUND(H222,0)=J222, 1, 0), "")</f>
        <v/>
      </c>
    </row>
    <row r="223">
      <c r="A223" t="n">
        <v>20260267</v>
      </c>
      <c r="B223" t="inlineStr">
        <is>
          <t>2026-05-29</t>
        </is>
      </c>
      <c r="C223" t="inlineStr">
        <is>
          <t>키움</t>
        </is>
      </c>
      <c r="D223" t="inlineStr">
        <is>
          <t>KT</t>
        </is>
      </c>
      <c r="E223" t="n">
        <v>10001</v>
      </c>
      <c r="F223" t="n">
        <v>12001</v>
      </c>
      <c r="G223" t="n">
        <v>53.45</v>
      </c>
      <c r="H223" t="n">
        <v>0.5345372148707886</v>
      </c>
      <c r="I223" t="inlineStr">
        <is>
          <t>elo_sp</t>
        </is>
      </c>
      <c r="J223" t="n">
        <v>0</v>
      </c>
      <c r="K223">
        <f>IF(AND(J223&lt;&gt;"", OR(J223=0, J223=1)), IF(ROUND(H223,0)=J223, 1, 0), "")</f>
        <v/>
      </c>
    </row>
    <row r="224">
      <c r="A224" t="n">
        <v>20260268</v>
      </c>
      <c r="B224" t="inlineStr">
        <is>
          <t>2026-05-29</t>
        </is>
      </c>
      <c r="C224" t="inlineStr">
        <is>
          <t>한화</t>
        </is>
      </c>
      <c r="D224" t="inlineStr">
        <is>
          <t>SSG</t>
        </is>
      </c>
      <c r="E224" t="n">
        <v>7002</v>
      </c>
      <c r="F224" t="n">
        <v>9002</v>
      </c>
      <c r="G224" t="n">
        <v>61.71</v>
      </c>
      <c r="H224" t="n">
        <v>0.6170621323471513</v>
      </c>
      <c r="I224" t="inlineStr">
        <is>
          <t>elo_sp</t>
        </is>
      </c>
      <c r="J224" t="n">
        <v>1</v>
      </c>
      <c r="K224">
        <f>IF(AND(J224&lt;&gt;"", OR(J224=0, J224=1)), IF(ROUND(H224,0)=J224, 1, 0), "")</f>
        <v/>
      </c>
    </row>
    <row r="225">
      <c r="A225" t="n">
        <v>20260269</v>
      </c>
      <c r="B225" t="inlineStr">
        <is>
          <t>2026-05-29</t>
        </is>
      </c>
      <c r="C225" t="inlineStr">
        <is>
          <t>삼성</t>
        </is>
      </c>
      <c r="D225" t="inlineStr">
        <is>
          <t>두산</t>
        </is>
      </c>
      <c r="E225" t="n">
        <v>1001</v>
      </c>
      <c r="F225" t="n">
        <v>6002</v>
      </c>
      <c r="G225" t="n">
        <v>52.19</v>
      </c>
      <c r="H225" t="n">
        <v>0.5219307249803196</v>
      </c>
      <c r="I225" t="inlineStr">
        <is>
          <t>elo_sp</t>
        </is>
      </c>
      <c r="J225" t="n">
        <v>0</v>
      </c>
      <c r="K225">
        <f>IF(AND(J225&lt;&gt;"", OR(J225=0, J225=1)), IF(ROUND(H225,0)=J225, 1, 0), "")</f>
        <v/>
      </c>
    </row>
    <row r="226">
      <c r="A226" t="n">
        <v>20260270</v>
      </c>
      <c r="B226" t="inlineStr">
        <is>
          <t>2026-05-29</t>
        </is>
      </c>
      <c r="C226" t="inlineStr">
        <is>
          <t>NC</t>
        </is>
      </c>
      <c r="D226" t="inlineStr">
        <is>
          <t>롯데</t>
        </is>
      </c>
      <c r="E226" t="n">
        <v>11001</v>
      </c>
      <c r="F226" t="n">
        <v>3001</v>
      </c>
      <c r="G226" t="n">
        <v>52.48</v>
      </c>
      <c r="H226" t="n">
        <v>0.52480278940696</v>
      </c>
      <c r="I226" t="inlineStr">
        <is>
          <t>elo_sp</t>
        </is>
      </c>
      <c r="J226" t="n">
        <v>0</v>
      </c>
      <c r="K226">
        <f>IF(AND(J226&lt;&gt;"", OR(J226=0, J226=1)), IF(ROUND(H226,0)=J226, 1, 0), "")</f>
        <v/>
      </c>
    </row>
    <row r="227">
      <c r="A227" t="n">
        <v>20260274</v>
      </c>
      <c r="B227" t="inlineStr">
        <is>
          <t>2026-05-30</t>
        </is>
      </c>
      <c r="C227" t="inlineStr">
        <is>
          <t>삼성</t>
        </is>
      </c>
      <c r="D227" t="inlineStr">
        <is>
          <t>두산</t>
        </is>
      </c>
      <c r="E227" t="n">
        <v>1001</v>
      </c>
      <c r="F227" t="n">
        <v>6002</v>
      </c>
      <c r="G227" t="n">
        <v>60.22</v>
      </c>
      <c r="H227" t="n">
        <v>0.6021972614238584</v>
      </c>
      <c r="I227" t="inlineStr">
        <is>
          <t>elo_sp</t>
        </is>
      </c>
      <c r="J227" t="n">
        <v>0</v>
      </c>
      <c r="K227">
        <f>IF(AND(J227&lt;&gt;"", OR(J227=0, J227=1)), IF(ROUND(H227,0)=J227, 1, 0), "")</f>
        <v/>
      </c>
    </row>
    <row r="228">
      <c r="A228" t="n">
        <v>20260271</v>
      </c>
      <c r="B228" t="inlineStr">
        <is>
          <t>2026-05-30</t>
        </is>
      </c>
      <c r="C228" t="inlineStr">
        <is>
          <t>LG</t>
        </is>
      </c>
      <c r="D228" t="inlineStr">
        <is>
          <t>KIA</t>
        </is>
      </c>
      <c r="E228" t="n">
        <v>5002</v>
      </c>
      <c r="F228" t="n">
        <v>2002</v>
      </c>
      <c r="G228" t="n">
        <v>32.7</v>
      </c>
      <c r="H228" t="n">
        <v>0.3270455046355627</v>
      </c>
      <c r="I228" t="inlineStr">
        <is>
          <t>elo_sp</t>
        </is>
      </c>
      <c r="J228" t="n">
        <v>1</v>
      </c>
      <c r="K228">
        <f>IF(AND(J228&lt;&gt;"", OR(J228=0, J228=1)), IF(ROUND(H228,0)=J228, 1, 0), "")</f>
        <v/>
      </c>
    </row>
    <row r="229">
      <c r="A229" t="n">
        <v>20260272</v>
      </c>
      <c r="B229" t="inlineStr">
        <is>
          <t>2026-05-30</t>
        </is>
      </c>
      <c r="C229" t="inlineStr">
        <is>
          <t>키움</t>
        </is>
      </c>
      <c r="D229" t="inlineStr">
        <is>
          <t>KT</t>
        </is>
      </c>
      <c r="E229" t="n">
        <v>10001</v>
      </c>
      <c r="F229" t="n">
        <v>12001</v>
      </c>
      <c r="G229" t="n">
        <v>100</v>
      </c>
      <c r="H229" t="n">
        <v>1</v>
      </c>
      <c r="I229" t="inlineStr">
        <is>
          <t>elo_sp</t>
        </is>
      </c>
      <c r="J229" t="n">
        <v>0</v>
      </c>
      <c r="K229">
        <f>IF(AND(J229&lt;&gt;"", OR(J229=0, J229=1)), IF(ROUND(H229,0)=J229, 1, 0), "")</f>
        <v/>
      </c>
    </row>
    <row r="230">
      <c r="A230" t="n">
        <v>20260273</v>
      </c>
      <c r="B230" t="inlineStr">
        <is>
          <t>2026-05-30</t>
        </is>
      </c>
      <c r="C230" t="inlineStr">
        <is>
          <t>한화</t>
        </is>
      </c>
      <c r="D230" t="inlineStr">
        <is>
          <t>SSG</t>
        </is>
      </c>
      <c r="E230" t="n">
        <v>7002</v>
      </c>
      <c r="F230" t="n">
        <v>9002</v>
      </c>
      <c r="G230" t="n">
        <v>65.03</v>
      </c>
      <c r="H230" t="n">
        <v>0.6503258002366246</v>
      </c>
      <c r="I230" t="inlineStr">
        <is>
          <t>elo_sp</t>
        </is>
      </c>
      <c r="J230" t="n">
        <v>1</v>
      </c>
      <c r="K230">
        <f>IF(AND(J230&lt;&gt;"", OR(J230=0, J230=1)), IF(ROUND(H230,0)=J230, 1, 0), "")</f>
        <v/>
      </c>
    </row>
    <row r="231">
      <c r="A231" t="n">
        <v>20260275</v>
      </c>
      <c r="B231" t="inlineStr">
        <is>
          <t>2026-05-30</t>
        </is>
      </c>
      <c r="C231" t="inlineStr">
        <is>
          <t>NC</t>
        </is>
      </c>
      <c r="D231" t="inlineStr">
        <is>
          <t>롯데</t>
        </is>
      </c>
      <c r="E231" t="n">
        <v>11001</v>
      </c>
      <c r="F231" t="n">
        <v>3001</v>
      </c>
      <c r="G231" t="n">
        <v>78.66</v>
      </c>
      <c r="H231" t="n">
        <v>0.7866322427405555</v>
      </c>
      <c r="I231" t="inlineStr">
        <is>
          <t>elo_sp</t>
        </is>
      </c>
      <c r="J231" t="n">
        <v>1</v>
      </c>
      <c r="K231">
        <f>IF(AND(J231&lt;&gt;"", OR(J231=0, J231=1)), IF(ROUND(H231,0)=J231, 1, 0), "")</f>
        <v/>
      </c>
    </row>
    <row r="232">
      <c r="A232" t="n">
        <v>20260276</v>
      </c>
      <c r="B232" t="inlineStr">
        <is>
          <t>2026-05-31</t>
        </is>
      </c>
      <c r="C232" t="inlineStr">
        <is>
          <t>LG</t>
        </is>
      </c>
      <c r="D232" t="inlineStr">
        <is>
          <t>KIA</t>
        </is>
      </c>
      <c r="E232" t="n">
        <v>5002</v>
      </c>
      <c r="F232" t="n">
        <v>2002</v>
      </c>
      <c r="G232" t="n">
        <v>54.51</v>
      </c>
      <c r="H232" t="n">
        <v>0.5451428396387865</v>
      </c>
      <c r="I232" t="inlineStr">
        <is>
          <t>elo_sp</t>
        </is>
      </c>
      <c r="J232" t="n">
        <v>1</v>
      </c>
      <c r="K232">
        <f>IF(AND(J232&lt;&gt;"", OR(J232=0, J232=1)), IF(ROUND(H232,0)=J232, 1, 0), "")</f>
        <v/>
      </c>
    </row>
    <row r="233">
      <c r="A233" t="n">
        <v>20260277</v>
      </c>
      <c r="B233" t="inlineStr">
        <is>
          <t>2026-05-31</t>
        </is>
      </c>
      <c r="C233" t="inlineStr">
        <is>
          <t>키움</t>
        </is>
      </c>
      <c r="D233" t="inlineStr">
        <is>
          <t>KT</t>
        </is>
      </c>
      <c r="E233" t="n">
        <v>10001</v>
      </c>
      <c r="F233" t="n">
        <v>12001</v>
      </c>
      <c r="G233" t="n">
        <v>48.67</v>
      </c>
      <c r="H233" t="n">
        <v>0.4867316451000267</v>
      </c>
      <c r="I233" t="inlineStr">
        <is>
          <t>elo_sp</t>
        </is>
      </c>
      <c r="J233" t="n">
        <v>0</v>
      </c>
      <c r="K233">
        <f>IF(AND(J233&lt;&gt;"", OR(J233=0, J233=1)), IF(ROUND(H233,0)=J233, 1, 0), "")</f>
        <v/>
      </c>
    </row>
    <row r="234">
      <c r="A234" t="n">
        <v>20260278</v>
      </c>
      <c r="B234" t="inlineStr">
        <is>
          <t>2026-05-31</t>
        </is>
      </c>
      <c r="C234" t="inlineStr">
        <is>
          <t>한화</t>
        </is>
      </c>
      <c r="D234" t="inlineStr">
        <is>
          <t>SSG</t>
        </is>
      </c>
      <c r="E234" t="n">
        <v>7002</v>
      </c>
      <c r="F234" t="n">
        <v>9002</v>
      </c>
      <c r="G234" t="n">
        <v>65.27</v>
      </c>
      <c r="H234" t="n">
        <v>0.6527330847949266</v>
      </c>
      <c r="I234" t="inlineStr">
        <is>
          <t>elo_sp</t>
        </is>
      </c>
      <c r="J234" t="n">
        <v>1</v>
      </c>
      <c r="K234">
        <f>IF(AND(J234&lt;&gt;"", OR(J234=0, J234=1)), IF(ROUND(H234,0)=J234, 1, 0), "")</f>
        <v/>
      </c>
    </row>
    <row r="235">
      <c r="A235" t="n">
        <v>20260279</v>
      </c>
      <c r="B235" t="inlineStr">
        <is>
          <t>2026-05-31</t>
        </is>
      </c>
      <c r="C235" t="inlineStr">
        <is>
          <t>삼성</t>
        </is>
      </c>
      <c r="D235" t="inlineStr">
        <is>
          <t>두산</t>
        </is>
      </c>
      <c r="E235" t="n">
        <v>1001</v>
      </c>
      <c r="F235" t="n">
        <v>6002</v>
      </c>
      <c r="G235" t="n">
        <v>46.96</v>
      </c>
      <c r="H235" t="n">
        <v>0.4696399407189114</v>
      </c>
      <c r="I235" t="inlineStr">
        <is>
          <t>elo_sp</t>
        </is>
      </c>
      <c r="J235" t="n">
        <v>1</v>
      </c>
      <c r="K235">
        <f>IF(AND(J235&lt;&gt;"", OR(J235=0, J235=1)), IF(ROUND(H235,0)=J235, 1, 0), "")</f>
        <v/>
      </c>
    </row>
    <row r="236">
      <c r="A236" t="n">
        <v>20260280</v>
      </c>
      <c r="B236" t="inlineStr">
        <is>
          <t>2026-05-31</t>
        </is>
      </c>
      <c r="C236" t="inlineStr">
        <is>
          <t>NC</t>
        </is>
      </c>
      <c r="D236" t="inlineStr">
        <is>
          <t>롯데</t>
        </is>
      </c>
      <c r="E236" t="n">
        <v>11001</v>
      </c>
      <c r="F236" t="n">
        <v>3001</v>
      </c>
      <c r="G236" t="n">
        <v>33</v>
      </c>
      <c r="H236" t="n">
        <v>0.3300124487120771</v>
      </c>
      <c r="I236" t="inlineStr">
        <is>
          <t>elo_sp</t>
        </is>
      </c>
      <c r="J236" t="n">
        <v>1</v>
      </c>
      <c r="K236">
        <f>IF(AND(J236&lt;&gt;"", OR(J236=0, J236=1)), IF(ROUND(H236,0)=J236, 1, 0), "")</f>
        <v/>
      </c>
    </row>
    <row r="237">
      <c r="A237" t="n">
        <v>20260281</v>
      </c>
      <c r="B237" t="inlineStr">
        <is>
          <t>2026-06-02</t>
        </is>
      </c>
      <c r="C237" t="inlineStr">
        <is>
          <t>두산</t>
        </is>
      </c>
      <c r="D237" t="inlineStr">
        <is>
          <t>한화</t>
        </is>
      </c>
      <c r="E237" t="n">
        <v>6002</v>
      </c>
      <c r="F237" t="n">
        <v>7002</v>
      </c>
      <c r="G237" t="n">
        <v>65.20999999999999</v>
      </c>
      <c r="H237" t="n">
        <v>0.6520792497257547</v>
      </c>
      <c r="I237" t="inlineStr">
        <is>
          <t>elo_sp</t>
        </is>
      </c>
    </row>
    <row r="238">
      <c r="A238" t="n">
        <v>20260282</v>
      </c>
      <c r="B238" t="inlineStr">
        <is>
          <t>2026-06-02</t>
        </is>
      </c>
      <c r="C238" t="inlineStr">
        <is>
          <t>SSG</t>
        </is>
      </c>
      <c r="D238" t="inlineStr">
        <is>
          <t>키움</t>
        </is>
      </c>
      <c r="E238" t="n">
        <v>9002</v>
      </c>
      <c r="F238" t="n">
        <v>10001</v>
      </c>
      <c r="G238" t="n">
        <v>38.3</v>
      </c>
      <c r="H238" t="n">
        <v>0.3829663197140514</v>
      </c>
      <c r="I238" t="inlineStr">
        <is>
          <t>elo_sp</t>
        </is>
      </c>
    </row>
    <row r="239">
      <c r="A239" t="n">
        <v>20260283</v>
      </c>
      <c r="B239" t="inlineStr">
        <is>
          <t>2026-06-02</t>
        </is>
      </c>
      <c r="C239" t="inlineStr">
        <is>
          <t>KT</t>
        </is>
      </c>
      <c r="D239" t="inlineStr">
        <is>
          <t>LG</t>
        </is>
      </c>
      <c r="E239" t="n">
        <v>12001</v>
      </c>
      <c r="F239" t="n">
        <v>5002</v>
      </c>
      <c r="G239" t="n">
        <v>41.47</v>
      </c>
      <c r="H239" t="n">
        <v>0.4146853987825883</v>
      </c>
      <c r="I239" t="inlineStr">
        <is>
          <t>elo_sp</t>
        </is>
      </c>
    </row>
    <row r="240">
      <c r="A240" t="n">
        <v>20260284</v>
      </c>
      <c r="B240" t="inlineStr">
        <is>
          <t>2026-06-02</t>
        </is>
      </c>
      <c r="C240" t="inlineStr">
        <is>
          <t>삼성</t>
        </is>
      </c>
      <c r="D240" t="inlineStr">
        <is>
          <t>NC</t>
        </is>
      </c>
      <c r="E240" t="n">
        <v>1001</v>
      </c>
      <c r="F240" t="n">
        <v>11001</v>
      </c>
      <c r="G240" t="n">
        <v>73.59999999999999</v>
      </c>
      <c r="H240" t="n">
        <v>0.7359649831537136</v>
      </c>
      <c r="I240" t="inlineStr">
        <is>
          <t>elo_sp</t>
        </is>
      </c>
    </row>
    <row r="241">
      <c r="A241" t="n">
        <v>20260285</v>
      </c>
      <c r="B241" t="inlineStr">
        <is>
          <t>2026-06-02</t>
        </is>
      </c>
      <c r="C241" t="inlineStr">
        <is>
          <t>KIA</t>
        </is>
      </c>
      <c r="D241" t="inlineStr">
        <is>
          <t>롯데</t>
        </is>
      </c>
      <c r="E241" t="n">
        <v>2002</v>
      </c>
      <c r="F241" t="n">
        <v>3001</v>
      </c>
      <c r="G241" t="n">
        <v>55.39</v>
      </c>
      <c r="H241" t="n">
        <v>0.5538924718610428</v>
      </c>
      <c r="I241" t="inlineStr">
        <is>
          <t>elo_sp</t>
        </is>
      </c>
    </row>
  </sheetData>
  <autoFilter ref="A1:K241"/>
  <conditionalFormatting sqref="O6">
    <cfRule type="colorScale" priority="1">
      <colorScale>
        <cfvo type="min"/>
        <cfvo type="max"/>
        <color rgb="FFFFEF9C"/>
        <color rgb="FF63BE7B"/>
      </colorScale>
    </cfRule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2026-04-28T07:04:35Z</dcterms:created>
  <dcterms:modified xmlns:dcterms="http://purl.org/dc/terms/" xmlns:xsi="http://www.w3.org/2001/XMLSchema-instance" xsi:type="dcterms:W3CDTF">2026-06-02T01:38:09Z</dcterms:modified>
  <cp:lastModifiedBy>User</cp:lastModifiedBy>
</cp:coreProperties>
</file>