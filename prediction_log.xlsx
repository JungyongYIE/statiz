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statiz_prediction\"/>
    </mc:Choice>
  </mc:AlternateContent>
  <xr:revisionPtr revIDLastSave="0" documentId="13_ncr:1_{7A146B81-D5F8-4EC0-920D-4A7BF54B19F7}" xr6:coauthVersionLast="36" xr6:coauthVersionMax="36" xr10:uidLastSave="{00000000-0000-0000-0000-000000000000}"/>
  <bookViews>
    <workbookView xWindow="0" yWindow="0" windowWidth="21600" windowHeight="9068" activeTab="1" xr2:uid="{00000000-000D-0000-FFFF-FFFF00000000}"/>
  </bookViews>
  <sheets>
    <sheet name="Raw_Submission_Log" sheetId="1" r:id="rId1"/>
    <sheet name="pivot" sheetId="2" r:id="rId2"/>
  </sheets>
  <definedNames>
    <definedName name="_xlnm._FilterDatabase" localSheetId="0" hidden="1">Raw_Submission_Log!$A$1:$R$671</definedName>
  </definedNames>
  <calcPr calcId="191029"/>
  <pivotCaches>
    <pivotCache cacheId="5" r:id="rId3"/>
  </pivotCaches>
</workbook>
</file>

<file path=xl/calcChain.xml><?xml version="1.0" encoding="utf-8"?>
<calcChain xmlns="http://schemas.openxmlformats.org/spreadsheetml/2006/main">
  <c r="O558" i="1" l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M557" i="1"/>
  <c r="O557" i="1"/>
  <c r="M556" i="1"/>
  <c r="O556" i="1"/>
  <c r="M555" i="1"/>
  <c r="O555" i="1"/>
  <c r="M554" i="1"/>
  <c r="O554" i="1"/>
  <c r="O553" i="1"/>
  <c r="M553" i="1"/>
  <c r="O552" i="1"/>
  <c r="M552" i="1"/>
  <c r="O551" i="1"/>
  <c r="M551" i="1"/>
  <c r="O550" i="1"/>
  <c r="M550" i="1"/>
  <c r="O549" i="1"/>
  <c r="M549" i="1"/>
  <c r="O548" i="1"/>
  <c r="L548" i="1"/>
  <c r="J548" i="1"/>
  <c r="M548" i="1" s="1"/>
  <c r="O547" i="1"/>
  <c r="L547" i="1"/>
  <c r="K547" i="1"/>
  <c r="J547" i="1"/>
  <c r="M547" i="1" s="1"/>
  <c r="O546" i="1"/>
  <c r="L546" i="1"/>
  <c r="K546" i="1"/>
  <c r="J546" i="1"/>
  <c r="M546" i="1" s="1"/>
  <c r="O545" i="1"/>
  <c r="M545" i="1"/>
  <c r="L545" i="1"/>
  <c r="K545" i="1"/>
  <c r="J545" i="1"/>
  <c r="O544" i="1"/>
  <c r="L544" i="1"/>
  <c r="J544" i="1"/>
  <c r="K544" i="1" s="1"/>
  <c r="O543" i="1"/>
  <c r="M543" i="1"/>
  <c r="L543" i="1"/>
  <c r="J543" i="1"/>
  <c r="K543" i="1" s="1"/>
  <c r="O542" i="1"/>
  <c r="L542" i="1"/>
  <c r="J542" i="1"/>
  <c r="O541" i="1"/>
  <c r="M541" i="1"/>
  <c r="L541" i="1"/>
  <c r="J541" i="1"/>
  <c r="K541" i="1" s="1"/>
  <c r="O540" i="1"/>
  <c r="L540" i="1"/>
  <c r="J540" i="1"/>
  <c r="M540" i="1" s="1"/>
  <c r="O539" i="1"/>
  <c r="M539" i="1"/>
  <c r="L539" i="1"/>
  <c r="K539" i="1"/>
  <c r="J539" i="1"/>
  <c r="O538" i="1"/>
  <c r="L538" i="1"/>
  <c r="K538" i="1"/>
  <c r="J538" i="1"/>
  <c r="M538" i="1" s="1"/>
  <c r="O537" i="1"/>
  <c r="M537" i="1"/>
  <c r="L537" i="1"/>
  <c r="K537" i="1"/>
  <c r="J537" i="1"/>
  <c r="O536" i="1"/>
  <c r="L536" i="1"/>
  <c r="J536" i="1"/>
  <c r="K536" i="1" s="1"/>
  <c r="O535" i="1"/>
  <c r="M535" i="1"/>
  <c r="L535" i="1"/>
  <c r="J535" i="1"/>
  <c r="K535" i="1" s="1"/>
  <c r="O534" i="1"/>
  <c r="L534" i="1"/>
  <c r="J534" i="1"/>
  <c r="O533" i="1"/>
  <c r="M533" i="1"/>
  <c r="L533" i="1"/>
  <c r="J533" i="1"/>
  <c r="K533" i="1" s="1"/>
  <c r="O532" i="1"/>
  <c r="L532" i="1"/>
  <c r="J532" i="1"/>
  <c r="M532" i="1" s="1"/>
  <c r="O531" i="1"/>
  <c r="M531" i="1"/>
  <c r="L531" i="1"/>
  <c r="K531" i="1"/>
  <c r="J531" i="1"/>
  <c r="O530" i="1"/>
  <c r="M530" i="1"/>
  <c r="L530" i="1"/>
  <c r="K530" i="1"/>
  <c r="J530" i="1"/>
  <c r="O529" i="1"/>
  <c r="M529" i="1"/>
  <c r="L529" i="1"/>
  <c r="K529" i="1"/>
  <c r="J529" i="1"/>
  <c r="O528" i="1"/>
  <c r="L528" i="1"/>
  <c r="J528" i="1"/>
  <c r="K528" i="1" s="1"/>
  <c r="O527" i="1"/>
  <c r="M527" i="1"/>
  <c r="L527" i="1"/>
  <c r="J527" i="1"/>
  <c r="K527" i="1" s="1"/>
  <c r="O526" i="1"/>
  <c r="L526" i="1"/>
  <c r="J526" i="1"/>
  <c r="O525" i="1"/>
  <c r="M525" i="1"/>
  <c r="L525" i="1"/>
  <c r="J525" i="1"/>
  <c r="K525" i="1" s="1"/>
  <c r="O524" i="1"/>
  <c r="L524" i="1"/>
  <c r="J524" i="1"/>
  <c r="M524" i="1" s="1"/>
  <c r="O523" i="1"/>
  <c r="M523" i="1"/>
  <c r="L523" i="1"/>
  <c r="K523" i="1"/>
  <c r="J523" i="1"/>
  <c r="O522" i="1"/>
  <c r="M522" i="1"/>
  <c r="L522" i="1"/>
  <c r="K522" i="1"/>
  <c r="J522" i="1"/>
  <c r="O521" i="1"/>
  <c r="M521" i="1"/>
  <c r="L521" i="1"/>
  <c r="K521" i="1"/>
  <c r="J521" i="1"/>
  <c r="O520" i="1"/>
  <c r="M520" i="1"/>
  <c r="L520" i="1"/>
  <c r="J520" i="1"/>
  <c r="K520" i="1" s="1"/>
  <c r="O519" i="1"/>
  <c r="M519" i="1"/>
  <c r="L519" i="1"/>
  <c r="J519" i="1"/>
  <c r="K519" i="1" s="1"/>
  <c r="O518" i="1"/>
  <c r="L518" i="1"/>
  <c r="J518" i="1"/>
  <c r="O517" i="1"/>
  <c r="M517" i="1"/>
  <c r="L517" i="1"/>
  <c r="J517" i="1"/>
  <c r="K517" i="1" s="1"/>
  <c r="O516" i="1"/>
  <c r="M516" i="1"/>
  <c r="L516" i="1"/>
  <c r="J516" i="1"/>
  <c r="K516" i="1" s="1"/>
  <c r="O515" i="1"/>
  <c r="M515" i="1"/>
  <c r="L515" i="1"/>
  <c r="K515" i="1"/>
  <c r="J515" i="1"/>
  <c r="O514" i="1"/>
  <c r="L514" i="1"/>
  <c r="K514" i="1"/>
  <c r="J514" i="1"/>
  <c r="M514" i="1" s="1"/>
  <c r="O513" i="1"/>
  <c r="M513" i="1"/>
  <c r="L513" i="1"/>
  <c r="K513" i="1"/>
  <c r="J513" i="1"/>
  <c r="O512" i="1"/>
  <c r="M512" i="1"/>
  <c r="L512" i="1"/>
  <c r="J512" i="1"/>
  <c r="K512" i="1" s="1"/>
  <c r="O511" i="1"/>
  <c r="M511" i="1"/>
  <c r="L511" i="1"/>
  <c r="J511" i="1"/>
  <c r="K511" i="1" s="1"/>
  <c r="O510" i="1"/>
  <c r="L510" i="1"/>
  <c r="J510" i="1"/>
  <c r="O509" i="1"/>
  <c r="M509" i="1"/>
  <c r="L509" i="1"/>
  <c r="J509" i="1"/>
  <c r="K509" i="1" s="1"/>
  <c r="O508" i="1"/>
  <c r="L508" i="1"/>
  <c r="J508" i="1"/>
  <c r="M508" i="1" s="1"/>
  <c r="O507" i="1"/>
  <c r="M507" i="1"/>
  <c r="L507" i="1"/>
  <c r="K507" i="1"/>
  <c r="J507" i="1"/>
  <c r="O506" i="1"/>
  <c r="L506" i="1"/>
  <c r="K506" i="1"/>
  <c r="J506" i="1"/>
  <c r="M506" i="1" s="1"/>
  <c r="O505" i="1"/>
  <c r="M505" i="1"/>
  <c r="L505" i="1"/>
  <c r="K505" i="1"/>
  <c r="J505" i="1"/>
  <c r="O504" i="1"/>
  <c r="M504" i="1"/>
  <c r="L504" i="1"/>
  <c r="J504" i="1"/>
  <c r="K504" i="1" s="1"/>
  <c r="O503" i="1"/>
  <c r="M503" i="1"/>
  <c r="L503" i="1"/>
  <c r="J503" i="1"/>
  <c r="K503" i="1" s="1"/>
  <c r="O502" i="1"/>
  <c r="L502" i="1"/>
  <c r="J502" i="1"/>
  <c r="O501" i="1"/>
  <c r="M501" i="1"/>
  <c r="L501" i="1"/>
  <c r="J501" i="1"/>
  <c r="K501" i="1" s="1"/>
  <c r="O500" i="1"/>
  <c r="L500" i="1"/>
  <c r="J500" i="1"/>
  <c r="M500" i="1" s="1"/>
  <c r="O499" i="1"/>
  <c r="M499" i="1"/>
  <c r="L499" i="1"/>
  <c r="K499" i="1"/>
  <c r="J499" i="1"/>
  <c r="O498" i="1"/>
  <c r="L498" i="1"/>
  <c r="K498" i="1"/>
  <c r="J498" i="1"/>
  <c r="M498" i="1" s="1"/>
  <c r="O497" i="1"/>
  <c r="M497" i="1"/>
  <c r="L497" i="1"/>
  <c r="K497" i="1"/>
  <c r="J497" i="1"/>
  <c r="O496" i="1"/>
  <c r="M496" i="1"/>
  <c r="L496" i="1"/>
  <c r="J496" i="1"/>
  <c r="K496" i="1" s="1"/>
  <c r="O495" i="1"/>
  <c r="L495" i="1"/>
  <c r="J495" i="1"/>
  <c r="K495" i="1" s="1"/>
  <c r="O494" i="1"/>
  <c r="L494" i="1"/>
  <c r="J494" i="1"/>
  <c r="O493" i="1"/>
  <c r="M493" i="1"/>
  <c r="L493" i="1"/>
  <c r="J493" i="1"/>
  <c r="K493" i="1" s="1"/>
  <c r="O492" i="1"/>
  <c r="L492" i="1"/>
  <c r="J492" i="1"/>
  <c r="M492" i="1" s="1"/>
  <c r="O491" i="1"/>
  <c r="M491" i="1"/>
  <c r="L491" i="1"/>
  <c r="K491" i="1"/>
  <c r="J491" i="1"/>
  <c r="O490" i="1"/>
  <c r="L490" i="1"/>
  <c r="K490" i="1"/>
  <c r="J490" i="1"/>
  <c r="M490" i="1" s="1"/>
  <c r="O489" i="1"/>
  <c r="M489" i="1"/>
  <c r="L489" i="1"/>
  <c r="K489" i="1"/>
  <c r="J489" i="1"/>
  <c r="O488" i="1"/>
  <c r="M488" i="1"/>
  <c r="L488" i="1"/>
  <c r="J488" i="1"/>
  <c r="K488" i="1" s="1"/>
  <c r="O487" i="1"/>
  <c r="L487" i="1"/>
  <c r="J487" i="1"/>
  <c r="K487" i="1" s="1"/>
  <c r="O486" i="1"/>
  <c r="L486" i="1"/>
  <c r="J486" i="1"/>
  <c r="O485" i="1"/>
  <c r="M485" i="1"/>
  <c r="L485" i="1"/>
  <c r="J485" i="1"/>
  <c r="K485" i="1" s="1"/>
  <c r="O484" i="1"/>
  <c r="L484" i="1"/>
  <c r="J484" i="1"/>
  <c r="M484" i="1" s="1"/>
  <c r="O483" i="1"/>
  <c r="M483" i="1"/>
  <c r="L483" i="1"/>
  <c r="K483" i="1"/>
  <c r="J483" i="1"/>
  <c r="O482" i="1"/>
  <c r="L482" i="1"/>
  <c r="K482" i="1"/>
  <c r="J482" i="1"/>
  <c r="M482" i="1" s="1"/>
  <c r="O481" i="1"/>
  <c r="M481" i="1"/>
  <c r="L481" i="1"/>
  <c r="K481" i="1"/>
  <c r="J481" i="1"/>
  <c r="O480" i="1"/>
  <c r="M480" i="1"/>
  <c r="L480" i="1"/>
  <c r="J480" i="1"/>
  <c r="K480" i="1" s="1"/>
  <c r="O479" i="1"/>
  <c r="L479" i="1"/>
  <c r="J479" i="1"/>
  <c r="K479" i="1" s="1"/>
  <c r="O478" i="1"/>
  <c r="L478" i="1"/>
  <c r="J478" i="1"/>
  <c r="O477" i="1"/>
  <c r="M477" i="1"/>
  <c r="L477" i="1"/>
  <c r="J477" i="1"/>
  <c r="K477" i="1" s="1"/>
  <c r="O476" i="1"/>
  <c r="L476" i="1"/>
  <c r="J476" i="1"/>
  <c r="M476" i="1" s="1"/>
  <c r="O475" i="1"/>
  <c r="M475" i="1"/>
  <c r="L475" i="1"/>
  <c r="K475" i="1"/>
  <c r="J475" i="1"/>
  <c r="O474" i="1"/>
  <c r="L474" i="1"/>
  <c r="K474" i="1"/>
  <c r="J474" i="1"/>
  <c r="M474" i="1" s="1"/>
  <c r="O473" i="1"/>
  <c r="M473" i="1"/>
  <c r="L473" i="1"/>
  <c r="K473" i="1"/>
  <c r="J473" i="1"/>
  <c r="O472" i="1"/>
  <c r="M472" i="1"/>
  <c r="L472" i="1"/>
  <c r="J472" i="1"/>
  <c r="K472" i="1" s="1"/>
  <c r="O471" i="1"/>
  <c r="M471" i="1"/>
  <c r="L471" i="1"/>
  <c r="J471" i="1"/>
  <c r="K471" i="1" s="1"/>
  <c r="O470" i="1"/>
  <c r="M470" i="1"/>
  <c r="L470" i="1"/>
  <c r="J470" i="1"/>
  <c r="K470" i="1" s="1"/>
  <c r="O469" i="1"/>
  <c r="M469" i="1"/>
  <c r="L469" i="1"/>
  <c r="J469" i="1"/>
  <c r="K469" i="1" s="1"/>
  <c r="O468" i="1"/>
  <c r="L468" i="1"/>
  <c r="J468" i="1"/>
  <c r="M468" i="1" s="1"/>
  <c r="O467" i="1"/>
  <c r="M467" i="1"/>
  <c r="L467" i="1"/>
  <c r="K467" i="1"/>
  <c r="J467" i="1"/>
  <c r="O466" i="1"/>
  <c r="L466" i="1"/>
  <c r="K466" i="1"/>
  <c r="J466" i="1"/>
  <c r="M466" i="1" s="1"/>
  <c r="O465" i="1"/>
  <c r="M465" i="1"/>
  <c r="L465" i="1"/>
  <c r="K465" i="1"/>
  <c r="J465" i="1"/>
  <c r="O464" i="1"/>
  <c r="M464" i="1"/>
  <c r="L464" i="1"/>
  <c r="J464" i="1"/>
  <c r="K464" i="1" s="1"/>
  <c r="O463" i="1"/>
  <c r="M463" i="1"/>
  <c r="L463" i="1"/>
  <c r="J463" i="1"/>
  <c r="K463" i="1" s="1"/>
  <c r="O462" i="1"/>
  <c r="L462" i="1"/>
  <c r="J462" i="1"/>
  <c r="O461" i="1"/>
  <c r="M461" i="1"/>
  <c r="L461" i="1"/>
  <c r="J461" i="1"/>
  <c r="K461" i="1" s="1"/>
  <c r="O460" i="1"/>
  <c r="M460" i="1"/>
  <c r="L460" i="1"/>
  <c r="J460" i="1"/>
  <c r="K460" i="1" s="1"/>
  <c r="O459" i="1"/>
  <c r="M459" i="1"/>
  <c r="L459" i="1"/>
  <c r="K459" i="1"/>
  <c r="J459" i="1"/>
  <c r="O458" i="1"/>
  <c r="L458" i="1"/>
  <c r="K458" i="1"/>
  <c r="J458" i="1"/>
  <c r="M458" i="1" s="1"/>
  <c r="O457" i="1"/>
  <c r="M457" i="1"/>
  <c r="L457" i="1"/>
  <c r="K457" i="1"/>
  <c r="J457" i="1"/>
  <c r="O456" i="1"/>
  <c r="L456" i="1"/>
  <c r="J456" i="1"/>
  <c r="K456" i="1" s="1"/>
  <c r="O455" i="1"/>
  <c r="L455" i="1"/>
  <c r="J455" i="1"/>
  <c r="K455" i="1" s="1"/>
  <c r="O454" i="1"/>
  <c r="L454" i="1"/>
  <c r="J454" i="1"/>
  <c r="O453" i="1"/>
  <c r="L453" i="1"/>
  <c r="J453" i="1"/>
  <c r="K453" i="1" s="1"/>
  <c r="O452" i="1"/>
  <c r="L452" i="1"/>
  <c r="J452" i="1"/>
  <c r="M452" i="1" s="1"/>
  <c r="O451" i="1"/>
  <c r="M451" i="1"/>
  <c r="L451" i="1"/>
  <c r="K451" i="1"/>
  <c r="J451" i="1"/>
  <c r="O450" i="1"/>
  <c r="L450" i="1"/>
  <c r="K450" i="1"/>
  <c r="J450" i="1"/>
  <c r="M450" i="1" s="1"/>
  <c r="O449" i="1"/>
  <c r="M449" i="1"/>
  <c r="L449" i="1"/>
  <c r="K449" i="1"/>
  <c r="J449" i="1"/>
  <c r="O448" i="1"/>
  <c r="M448" i="1"/>
  <c r="L448" i="1"/>
  <c r="J448" i="1"/>
  <c r="K448" i="1" s="1"/>
  <c r="O447" i="1"/>
  <c r="L447" i="1"/>
  <c r="J447" i="1"/>
  <c r="K447" i="1" s="1"/>
  <c r="O446" i="1"/>
  <c r="L446" i="1"/>
  <c r="J446" i="1"/>
  <c r="O445" i="1"/>
  <c r="L445" i="1"/>
  <c r="J445" i="1"/>
  <c r="K445" i="1" s="1"/>
  <c r="O444" i="1"/>
  <c r="L444" i="1"/>
  <c r="J444" i="1"/>
  <c r="M444" i="1" s="1"/>
  <c r="O443" i="1"/>
  <c r="M443" i="1"/>
  <c r="L443" i="1"/>
  <c r="K443" i="1"/>
  <c r="J443" i="1"/>
  <c r="O442" i="1"/>
  <c r="L442" i="1"/>
  <c r="K442" i="1"/>
  <c r="J442" i="1"/>
  <c r="M442" i="1" s="1"/>
  <c r="O441" i="1"/>
  <c r="M441" i="1"/>
  <c r="L441" i="1"/>
  <c r="K441" i="1"/>
  <c r="J441" i="1"/>
  <c r="O440" i="1"/>
  <c r="M440" i="1"/>
  <c r="L440" i="1"/>
  <c r="J440" i="1"/>
  <c r="K440" i="1" s="1"/>
  <c r="O439" i="1"/>
  <c r="L439" i="1"/>
  <c r="J439" i="1"/>
  <c r="K439" i="1" s="1"/>
  <c r="O438" i="1"/>
  <c r="L438" i="1"/>
  <c r="J438" i="1"/>
  <c r="O437" i="1"/>
  <c r="L437" i="1"/>
  <c r="J437" i="1"/>
  <c r="K437" i="1" s="1"/>
  <c r="O436" i="1"/>
  <c r="L436" i="1"/>
  <c r="J436" i="1"/>
  <c r="M436" i="1" s="1"/>
  <c r="O435" i="1"/>
  <c r="M435" i="1"/>
  <c r="L435" i="1"/>
  <c r="K435" i="1"/>
  <c r="J435" i="1"/>
  <c r="O434" i="1"/>
  <c r="L434" i="1"/>
  <c r="K434" i="1"/>
  <c r="J434" i="1"/>
  <c r="M434" i="1" s="1"/>
  <c r="O433" i="1"/>
  <c r="M433" i="1"/>
  <c r="L433" i="1"/>
  <c r="K433" i="1"/>
  <c r="J433" i="1"/>
  <c r="O432" i="1"/>
  <c r="L432" i="1"/>
  <c r="J432" i="1"/>
  <c r="O431" i="1"/>
  <c r="L431" i="1"/>
  <c r="J431" i="1"/>
  <c r="K431" i="1" s="1"/>
  <c r="O430" i="1"/>
  <c r="L430" i="1"/>
  <c r="J430" i="1"/>
  <c r="O429" i="1"/>
  <c r="M429" i="1"/>
  <c r="L429" i="1"/>
  <c r="J429" i="1"/>
  <c r="K429" i="1" s="1"/>
  <c r="O428" i="1"/>
  <c r="L428" i="1"/>
  <c r="J428" i="1"/>
  <c r="M428" i="1" s="1"/>
  <c r="O427" i="1"/>
  <c r="M427" i="1"/>
  <c r="L427" i="1"/>
  <c r="K427" i="1"/>
  <c r="J427" i="1"/>
  <c r="O426" i="1"/>
  <c r="L426" i="1"/>
  <c r="K426" i="1"/>
  <c r="J426" i="1"/>
  <c r="M426" i="1" s="1"/>
  <c r="O425" i="1"/>
  <c r="M425" i="1"/>
  <c r="L425" i="1"/>
  <c r="K425" i="1"/>
  <c r="J425" i="1"/>
  <c r="O424" i="1"/>
  <c r="L424" i="1"/>
  <c r="J424" i="1"/>
  <c r="O423" i="1"/>
  <c r="L423" i="1"/>
  <c r="J423" i="1"/>
  <c r="K423" i="1" s="1"/>
  <c r="O422" i="1"/>
  <c r="L422" i="1"/>
  <c r="J422" i="1"/>
  <c r="O421" i="1"/>
  <c r="M421" i="1"/>
  <c r="L421" i="1"/>
  <c r="J421" i="1"/>
  <c r="K421" i="1" s="1"/>
  <c r="O420" i="1"/>
  <c r="L420" i="1"/>
  <c r="J420" i="1"/>
  <c r="M420" i="1" s="1"/>
  <c r="O419" i="1"/>
  <c r="M419" i="1"/>
  <c r="L419" i="1"/>
  <c r="K419" i="1"/>
  <c r="J419" i="1"/>
  <c r="O418" i="1"/>
  <c r="L418" i="1"/>
  <c r="K418" i="1"/>
  <c r="J418" i="1"/>
  <c r="M418" i="1" s="1"/>
  <c r="O417" i="1"/>
  <c r="M417" i="1"/>
  <c r="L417" i="1"/>
  <c r="K417" i="1"/>
  <c r="J417" i="1"/>
  <c r="O416" i="1"/>
  <c r="L416" i="1"/>
  <c r="J416" i="1"/>
  <c r="O415" i="1"/>
  <c r="L415" i="1"/>
  <c r="J415" i="1"/>
  <c r="K415" i="1" s="1"/>
  <c r="O414" i="1"/>
  <c r="M414" i="1"/>
  <c r="L414" i="1"/>
  <c r="J414" i="1"/>
  <c r="K414" i="1" s="1"/>
  <c r="O413" i="1"/>
  <c r="M413" i="1"/>
  <c r="L413" i="1"/>
  <c r="J413" i="1"/>
  <c r="K413" i="1" s="1"/>
  <c r="O412" i="1"/>
  <c r="M412" i="1"/>
  <c r="L412" i="1"/>
  <c r="J412" i="1"/>
  <c r="K412" i="1" s="1"/>
  <c r="O411" i="1"/>
  <c r="M411" i="1"/>
  <c r="L411" i="1"/>
  <c r="K411" i="1"/>
  <c r="J411" i="1"/>
  <c r="O410" i="1"/>
  <c r="L410" i="1"/>
  <c r="K410" i="1"/>
  <c r="J410" i="1"/>
  <c r="M410" i="1" s="1"/>
  <c r="O409" i="1"/>
  <c r="M409" i="1"/>
  <c r="L409" i="1"/>
  <c r="K409" i="1"/>
  <c r="J409" i="1"/>
  <c r="O408" i="1"/>
  <c r="M408" i="1"/>
  <c r="L408" i="1"/>
  <c r="J408" i="1"/>
  <c r="K408" i="1" s="1"/>
  <c r="O407" i="1"/>
  <c r="M407" i="1"/>
  <c r="L407" i="1"/>
  <c r="J407" i="1"/>
  <c r="K407" i="1" s="1"/>
  <c r="O406" i="1"/>
  <c r="L406" i="1"/>
  <c r="J406" i="1"/>
  <c r="O405" i="1"/>
  <c r="M405" i="1"/>
  <c r="L405" i="1"/>
  <c r="J405" i="1"/>
  <c r="K405" i="1" s="1"/>
  <c r="O404" i="1"/>
  <c r="M404" i="1"/>
  <c r="L404" i="1"/>
  <c r="J404" i="1"/>
  <c r="K404" i="1" s="1"/>
  <c r="O403" i="1"/>
  <c r="M403" i="1"/>
  <c r="L403" i="1"/>
  <c r="K403" i="1"/>
  <c r="J403" i="1"/>
  <c r="O402" i="1"/>
  <c r="L402" i="1"/>
  <c r="K402" i="1"/>
  <c r="J402" i="1"/>
  <c r="M402" i="1" s="1"/>
  <c r="O401" i="1"/>
  <c r="M401" i="1"/>
  <c r="L401" i="1"/>
  <c r="K401" i="1"/>
  <c r="J401" i="1"/>
  <c r="O400" i="1"/>
  <c r="L400" i="1"/>
  <c r="J400" i="1"/>
  <c r="K400" i="1" s="1"/>
  <c r="O399" i="1"/>
  <c r="L399" i="1"/>
  <c r="J399" i="1"/>
  <c r="K399" i="1" s="1"/>
  <c r="O398" i="1"/>
  <c r="L398" i="1"/>
  <c r="J398" i="1"/>
  <c r="O397" i="1"/>
  <c r="M397" i="1"/>
  <c r="L397" i="1"/>
  <c r="J397" i="1"/>
  <c r="K397" i="1" s="1"/>
  <c r="O396" i="1"/>
  <c r="L396" i="1"/>
  <c r="J396" i="1"/>
  <c r="M396" i="1" s="1"/>
  <c r="O395" i="1"/>
  <c r="M395" i="1"/>
  <c r="L395" i="1"/>
  <c r="K395" i="1"/>
  <c r="J395" i="1"/>
  <c r="O394" i="1"/>
  <c r="L394" i="1"/>
  <c r="K394" i="1"/>
  <c r="J394" i="1"/>
  <c r="M394" i="1" s="1"/>
  <c r="O393" i="1"/>
  <c r="M393" i="1"/>
  <c r="L393" i="1"/>
  <c r="K393" i="1"/>
  <c r="J393" i="1"/>
  <c r="O392" i="1"/>
  <c r="L392" i="1"/>
  <c r="J392" i="1"/>
  <c r="K392" i="1" s="1"/>
  <c r="O391" i="1"/>
  <c r="L391" i="1"/>
  <c r="J391" i="1"/>
  <c r="K391" i="1" s="1"/>
  <c r="O390" i="1"/>
  <c r="L390" i="1"/>
  <c r="J390" i="1"/>
  <c r="O389" i="1"/>
  <c r="M389" i="1"/>
  <c r="L389" i="1"/>
  <c r="J389" i="1"/>
  <c r="K389" i="1" s="1"/>
  <c r="O388" i="1"/>
  <c r="L388" i="1"/>
  <c r="J388" i="1"/>
  <c r="M388" i="1" s="1"/>
  <c r="O387" i="1"/>
  <c r="M387" i="1"/>
  <c r="L387" i="1"/>
  <c r="K387" i="1"/>
  <c r="J387" i="1"/>
  <c r="O386" i="1"/>
  <c r="L386" i="1"/>
  <c r="K386" i="1"/>
  <c r="J386" i="1"/>
  <c r="M386" i="1" s="1"/>
  <c r="O385" i="1"/>
  <c r="M385" i="1"/>
  <c r="L385" i="1"/>
  <c r="K385" i="1"/>
  <c r="J385" i="1"/>
  <c r="O384" i="1"/>
  <c r="L384" i="1"/>
  <c r="J384" i="1"/>
  <c r="K384" i="1" s="1"/>
  <c r="O383" i="1"/>
  <c r="M383" i="1"/>
  <c r="L383" i="1"/>
  <c r="J383" i="1"/>
  <c r="K383" i="1" s="1"/>
  <c r="O382" i="1"/>
  <c r="L382" i="1"/>
  <c r="J382" i="1"/>
  <c r="O381" i="1"/>
  <c r="L381" i="1"/>
  <c r="J381" i="1"/>
  <c r="K381" i="1" s="1"/>
  <c r="O380" i="1"/>
  <c r="L380" i="1"/>
  <c r="J380" i="1"/>
  <c r="M380" i="1" s="1"/>
  <c r="O379" i="1"/>
  <c r="M379" i="1"/>
  <c r="L379" i="1"/>
  <c r="K379" i="1"/>
  <c r="J379" i="1"/>
  <c r="O378" i="1"/>
  <c r="L378" i="1"/>
  <c r="K378" i="1"/>
  <c r="J378" i="1"/>
  <c r="M378" i="1" s="1"/>
  <c r="O377" i="1"/>
  <c r="M377" i="1"/>
  <c r="L377" i="1"/>
  <c r="K377" i="1"/>
  <c r="J377" i="1"/>
  <c r="O376" i="1"/>
  <c r="M376" i="1"/>
  <c r="L376" i="1"/>
  <c r="J376" i="1"/>
  <c r="K376" i="1" s="1"/>
  <c r="O375" i="1"/>
  <c r="L375" i="1"/>
  <c r="J375" i="1"/>
  <c r="K375" i="1" s="1"/>
  <c r="O374" i="1"/>
  <c r="L374" i="1"/>
  <c r="J374" i="1"/>
  <c r="O373" i="1"/>
  <c r="L373" i="1"/>
  <c r="J373" i="1"/>
  <c r="K373" i="1" s="1"/>
  <c r="O372" i="1"/>
  <c r="L372" i="1"/>
  <c r="J372" i="1"/>
  <c r="M372" i="1" s="1"/>
  <c r="O371" i="1"/>
  <c r="M371" i="1"/>
  <c r="L371" i="1"/>
  <c r="K371" i="1"/>
  <c r="J371" i="1"/>
  <c r="O370" i="1"/>
  <c r="L370" i="1"/>
  <c r="K370" i="1"/>
  <c r="J370" i="1"/>
  <c r="M370" i="1" s="1"/>
  <c r="O369" i="1"/>
  <c r="M369" i="1"/>
  <c r="L369" i="1"/>
  <c r="K369" i="1"/>
  <c r="J369" i="1"/>
  <c r="O368" i="1"/>
  <c r="M368" i="1"/>
  <c r="L368" i="1"/>
  <c r="J368" i="1"/>
  <c r="K368" i="1" s="1"/>
  <c r="O367" i="1"/>
  <c r="L367" i="1"/>
  <c r="J367" i="1"/>
  <c r="M367" i="1" s="1"/>
  <c r="O366" i="1"/>
  <c r="L366" i="1"/>
  <c r="J366" i="1"/>
  <c r="K366" i="1" s="1"/>
  <c r="O365" i="1"/>
  <c r="L365" i="1"/>
  <c r="J365" i="1"/>
  <c r="K365" i="1" s="1"/>
  <c r="O364" i="1"/>
  <c r="L364" i="1"/>
  <c r="J364" i="1"/>
  <c r="O363" i="1"/>
  <c r="M363" i="1"/>
  <c r="L363" i="1"/>
  <c r="K363" i="1"/>
  <c r="J363" i="1"/>
  <c r="O362" i="1"/>
  <c r="L362" i="1"/>
  <c r="K362" i="1"/>
  <c r="J362" i="1"/>
  <c r="M362" i="1" s="1"/>
  <c r="O361" i="1"/>
  <c r="M361" i="1"/>
  <c r="L361" i="1"/>
  <c r="K361" i="1"/>
  <c r="J361" i="1"/>
  <c r="O360" i="1"/>
  <c r="L360" i="1"/>
  <c r="J360" i="1"/>
  <c r="M360" i="1" s="1"/>
  <c r="O359" i="1"/>
  <c r="M359" i="1"/>
  <c r="L359" i="1"/>
  <c r="J359" i="1"/>
  <c r="K359" i="1" s="1"/>
  <c r="O358" i="1"/>
  <c r="L358" i="1"/>
  <c r="J358" i="1"/>
  <c r="K358" i="1" s="1"/>
  <c r="O357" i="1"/>
  <c r="M357" i="1"/>
  <c r="L357" i="1"/>
  <c r="J357" i="1"/>
  <c r="K357" i="1" s="1"/>
  <c r="O356" i="1"/>
  <c r="L356" i="1"/>
  <c r="J356" i="1"/>
  <c r="O355" i="1"/>
  <c r="M355" i="1"/>
  <c r="L355" i="1"/>
  <c r="K355" i="1"/>
  <c r="J355" i="1"/>
  <c r="O354" i="1"/>
  <c r="L354" i="1"/>
  <c r="K354" i="1"/>
  <c r="J354" i="1"/>
  <c r="M354" i="1" s="1"/>
  <c r="O353" i="1"/>
  <c r="M353" i="1"/>
  <c r="L353" i="1"/>
  <c r="K353" i="1"/>
  <c r="J353" i="1"/>
  <c r="O352" i="1"/>
  <c r="L352" i="1"/>
  <c r="J352" i="1"/>
  <c r="O351" i="1"/>
  <c r="L351" i="1"/>
  <c r="J351" i="1"/>
  <c r="M351" i="1" s="1"/>
  <c r="O350" i="1"/>
  <c r="M350" i="1"/>
  <c r="L350" i="1"/>
  <c r="J350" i="1"/>
  <c r="K350" i="1" s="1"/>
  <c r="O349" i="1"/>
  <c r="M349" i="1"/>
  <c r="L349" i="1"/>
  <c r="J349" i="1"/>
  <c r="K349" i="1" s="1"/>
  <c r="O348" i="1"/>
  <c r="L348" i="1"/>
  <c r="J348" i="1"/>
  <c r="O347" i="1"/>
  <c r="M347" i="1"/>
  <c r="L347" i="1"/>
  <c r="K347" i="1"/>
  <c r="J347" i="1"/>
  <c r="O346" i="1"/>
  <c r="L346" i="1"/>
  <c r="K346" i="1"/>
  <c r="J346" i="1"/>
  <c r="M346" i="1" s="1"/>
  <c r="O345" i="1"/>
  <c r="M345" i="1"/>
  <c r="L345" i="1"/>
  <c r="K345" i="1"/>
  <c r="J345" i="1"/>
  <c r="O344" i="1"/>
  <c r="M344" i="1"/>
  <c r="L344" i="1"/>
  <c r="K344" i="1"/>
  <c r="J344" i="1"/>
  <c r="O343" i="1"/>
  <c r="L343" i="1"/>
  <c r="J343" i="1"/>
  <c r="O342" i="1"/>
  <c r="M342" i="1"/>
  <c r="L342" i="1"/>
  <c r="J342" i="1"/>
  <c r="K342" i="1" s="1"/>
  <c r="O341" i="1"/>
  <c r="L341" i="1"/>
  <c r="J341" i="1"/>
  <c r="O340" i="1"/>
  <c r="L340" i="1"/>
  <c r="J340" i="1"/>
  <c r="O339" i="1"/>
  <c r="M339" i="1"/>
  <c r="L339" i="1"/>
  <c r="K339" i="1"/>
  <c r="J339" i="1"/>
  <c r="O338" i="1"/>
  <c r="L338" i="1"/>
  <c r="K338" i="1"/>
  <c r="J338" i="1"/>
  <c r="M338" i="1" s="1"/>
  <c r="O337" i="1"/>
  <c r="M337" i="1"/>
  <c r="L337" i="1"/>
  <c r="K337" i="1"/>
  <c r="J337" i="1"/>
  <c r="O336" i="1"/>
  <c r="L336" i="1"/>
  <c r="K336" i="1"/>
  <c r="J336" i="1"/>
  <c r="M336" i="1" s="1"/>
  <c r="O335" i="1"/>
  <c r="M335" i="1"/>
  <c r="L335" i="1"/>
  <c r="K335" i="1"/>
  <c r="J335" i="1"/>
  <c r="O334" i="1"/>
  <c r="L334" i="1"/>
  <c r="J334" i="1"/>
  <c r="K334" i="1" s="1"/>
  <c r="O333" i="1"/>
  <c r="L333" i="1"/>
  <c r="J333" i="1"/>
  <c r="K333" i="1" s="1"/>
  <c r="O332" i="1"/>
  <c r="L332" i="1"/>
  <c r="J332" i="1"/>
  <c r="O331" i="1"/>
  <c r="M331" i="1"/>
  <c r="L331" i="1"/>
  <c r="K331" i="1"/>
  <c r="J331" i="1"/>
  <c r="O330" i="1"/>
  <c r="L330" i="1"/>
  <c r="K330" i="1"/>
  <c r="J330" i="1"/>
  <c r="M330" i="1" s="1"/>
  <c r="O329" i="1"/>
  <c r="M329" i="1"/>
  <c r="L329" i="1"/>
  <c r="K329" i="1"/>
  <c r="J329" i="1"/>
  <c r="O328" i="1"/>
  <c r="M328" i="1"/>
  <c r="L328" i="1"/>
  <c r="K328" i="1"/>
  <c r="J328" i="1"/>
  <c r="O327" i="1"/>
  <c r="L327" i="1"/>
  <c r="K327" i="1"/>
  <c r="J327" i="1"/>
  <c r="M327" i="1" s="1"/>
  <c r="O326" i="1"/>
  <c r="M326" i="1"/>
  <c r="L326" i="1"/>
  <c r="J326" i="1"/>
  <c r="K326" i="1" s="1"/>
  <c r="O325" i="1"/>
  <c r="L325" i="1"/>
  <c r="J325" i="1"/>
  <c r="K325" i="1" s="1"/>
  <c r="O324" i="1"/>
  <c r="L324" i="1"/>
  <c r="J324" i="1"/>
  <c r="O323" i="1"/>
  <c r="M323" i="1"/>
  <c r="L323" i="1"/>
  <c r="K323" i="1"/>
  <c r="J323" i="1"/>
  <c r="O322" i="1"/>
  <c r="L322" i="1"/>
  <c r="K322" i="1"/>
  <c r="J322" i="1"/>
  <c r="M322" i="1" s="1"/>
  <c r="O321" i="1"/>
  <c r="M321" i="1"/>
  <c r="L321" i="1"/>
  <c r="K321" i="1"/>
  <c r="J321" i="1"/>
  <c r="O320" i="1"/>
  <c r="L320" i="1"/>
  <c r="K320" i="1"/>
  <c r="J320" i="1"/>
  <c r="M320" i="1" s="1"/>
  <c r="O319" i="1"/>
  <c r="M319" i="1"/>
  <c r="L319" i="1"/>
  <c r="K319" i="1"/>
  <c r="J319" i="1"/>
  <c r="O318" i="1"/>
  <c r="L318" i="1"/>
  <c r="J318" i="1"/>
  <c r="K318" i="1" s="1"/>
  <c r="O317" i="1"/>
  <c r="M317" i="1"/>
  <c r="L317" i="1"/>
  <c r="J317" i="1"/>
  <c r="K317" i="1" s="1"/>
  <c r="O316" i="1"/>
  <c r="L316" i="1"/>
  <c r="J316" i="1"/>
  <c r="O315" i="1"/>
  <c r="M315" i="1"/>
  <c r="L315" i="1"/>
  <c r="K315" i="1"/>
  <c r="J315" i="1"/>
  <c r="O314" i="1"/>
  <c r="L314" i="1"/>
  <c r="K314" i="1"/>
  <c r="J314" i="1"/>
  <c r="M314" i="1" s="1"/>
  <c r="O313" i="1"/>
  <c r="M313" i="1"/>
  <c r="L313" i="1"/>
  <c r="K313" i="1"/>
  <c r="J313" i="1"/>
  <c r="O312" i="1"/>
  <c r="L312" i="1"/>
  <c r="J312" i="1"/>
  <c r="M312" i="1" s="1"/>
  <c r="O311" i="1"/>
  <c r="L311" i="1"/>
  <c r="K311" i="1"/>
  <c r="J311" i="1"/>
  <c r="M311" i="1" s="1"/>
  <c r="O310" i="1"/>
  <c r="L310" i="1"/>
  <c r="J310" i="1"/>
  <c r="O309" i="1"/>
  <c r="M309" i="1"/>
  <c r="L309" i="1"/>
  <c r="J309" i="1"/>
  <c r="K309" i="1" s="1"/>
  <c r="O308" i="1"/>
  <c r="M308" i="1"/>
  <c r="L308" i="1"/>
  <c r="J308" i="1"/>
  <c r="K308" i="1" s="1"/>
  <c r="O307" i="1"/>
  <c r="M307" i="1"/>
  <c r="L307" i="1"/>
  <c r="K307" i="1"/>
  <c r="J307" i="1"/>
  <c r="O306" i="1"/>
  <c r="L306" i="1"/>
  <c r="K306" i="1"/>
  <c r="J306" i="1"/>
  <c r="M306" i="1" s="1"/>
  <c r="O305" i="1"/>
  <c r="M305" i="1"/>
  <c r="L305" i="1"/>
  <c r="K305" i="1"/>
  <c r="J305" i="1"/>
  <c r="O304" i="1"/>
  <c r="M304" i="1"/>
  <c r="L304" i="1"/>
  <c r="J304" i="1"/>
  <c r="K304" i="1" s="1"/>
  <c r="O303" i="1"/>
  <c r="L303" i="1"/>
  <c r="J303" i="1"/>
  <c r="O302" i="1"/>
  <c r="M302" i="1"/>
  <c r="L302" i="1"/>
  <c r="J302" i="1"/>
  <c r="K302" i="1" s="1"/>
  <c r="O301" i="1"/>
  <c r="L301" i="1"/>
  <c r="J301" i="1"/>
  <c r="O300" i="1"/>
  <c r="L300" i="1"/>
  <c r="J300" i="1"/>
  <c r="O299" i="1"/>
  <c r="M299" i="1"/>
  <c r="L299" i="1"/>
  <c r="K299" i="1"/>
  <c r="J299" i="1"/>
  <c r="O298" i="1"/>
  <c r="L298" i="1"/>
  <c r="K298" i="1"/>
  <c r="J298" i="1"/>
  <c r="M298" i="1" s="1"/>
  <c r="O297" i="1"/>
  <c r="M297" i="1"/>
  <c r="L297" i="1"/>
  <c r="K297" i="1"/>
  <c r="J297" i="1"/>
  <c r="O296" i="1"/>
  <c r="M296" i="1"/>
  <c r="L296" i="1"/>
  <c r="J296" i="1"/>
  <c r="K296" i="1" s="1"/>
  <c r="O295" i="1"/>
  <c r="M295" i="1"/>
  <c r="L295" i="1"/>
  <c r="J295" i="1"/>
  <c r="K295" i="1" s="1"/>
  <c r="O294" i="1"/>
  <c r="M294" i="1"/>
  <c r="L294" i="1"/>
  <c r="J294" i="1"/>
  <c r="K294" i="1" s="1"/>
  <c r="O293" i="1"/>
  <c r="L293" i="1"/>
  <c r="J293" i="1"/>
  <c r="K293" i="1" s="1"/>
  <c r="O292" i="1"/>
  <c r="L292" i="1"/>
  <c r="J292" i="1"/>
  <c r="O291" i="1"/>
  <c r="M291" i="1"/>
  <c r="L291" i="1"/>
  <c r="K291" i="1"/>
  <c r="J291" i="1"/>
  <c r="O290" i="1"/>
  <c r="L290" i="1"/>
  <c r="K290" i="1"/>
  <c r="J290" i="1"/>
  <c r="M290" i="1" s="1"/>
  <c r="O289" i="1"/>
  <c r="M289" i="1"/>
  <c r="L289" i="1"/>
  <c r="K289" i="1"/>
  <c r="J289" i="1"/>
  <c r="O288" i="1"/>
  <c r="M288" i="1"/>
  <c r="L288" i="1"/>
  <c r="K288" i="1"/>
  <c r="J288" i="1"/>
  <c r="O287" i="1"/>
  <c r="M287" i="1"/>
  <c r="L287" i="1"/>
  <c r="J287" i="1"/>
  <c r="K287" i="1" s="1"/>
  <c r="O286" i="1"/>
  <c r="M286" i="1"/>
  <c r="L286" i="1"/>
  <c r="J286" i="1"/>
  <c r="K286" i="1" s="1"/>
  <c r="O285" i="1"/>
  <c r="L285" i="1"/>
  <c r="J285" i="1"/>
  <c r="K285" i="1" s="1"/>
  <c r="O284" i="1"/>
  <c r="L284" i="1"/>
  <c r="J284" i="1"/>
  <c r="O283" i="1"/>
  <c r="M283" i="1"/>
  <c r="L283" i="1"/>
  <c r="K283" i="1"/>
  <c r="J283" i="1"/>
  <c r="O282" i="1"/>
  <c r="L282" i="1"/>
  <c r="K282" i="1"/>
  <c r="J282" i="1"/>
  <c r="M282" i="1" s="1"/>
  <c r="O281" i="1"/>
  <c r="M281" i="1"/>
  <c r="L281" i="1"/>
  <c r="K281" i="1"/>
  <c r="J281" i="1"/>
  <c r="O280" i="1"/>
  <c r="L280" i="1"/>
  <c r="K280" i="1"/>
  <c r="J280" i="1"/>
  <c r="M280" i="1" s="1"/>
  <c r="O279" i="1"/>
  <c r="M279" i="1"/>
  <c r="L279" i="1"/>
  <c r="K279" i="1"/>
  <c r="J279" i="1"/>
  <c r="O278" i="1"/>
  <c r="M278" i="1"/>
  <c r="L278" i="1"/>
  <c r="J278" i="1"/>
  <c r="K278" i="1" s="1"/>
  <c r="O277" i="1"/>
  <c r="M277" i="1"/>
  <c r="L277" i="1"/>
  <c r="J277" i="1"/>
  <c r="K277" i="1" s="1"/>
  <c r="O276" i="1"/>
  <c r="L276" i="1"/>
  <c r="J276" i="1"/>
  <c r="O275" i="1"/>
  <c r="M275" i="1"/>
  <c r="L275" i="1"/>
  <c r="K275" i="1"/>
  <c r="J275" i="1"/>
  <c r="O274" i="1"/>
  <c r="L274" i="1"/>
  <c r="K274" i="1"/>
  <c r="J274" i="1"/>
  <c r="M274" i="1" s="1"/>
  <c r="O273" i="1"/>
  <c r="M273" i="1"/>
  <c r="L273" i="1"/>
  <c r="K273" i="1"/>
  <c r="J273" i="1"/>
  <c r="O272" i="1"/>
  <c r="L272" i="1"/>
  <c r="J272" i="1"/>
  <c r="M272" i="1" s="1"/>
  <c r="O271" i="1"/>
  <c r="L271" i="1"/>
  <c r="K271" i="1"/>
  <c r="J271" i="1"/>
  <c r="M271" i="1" s="1"/>
  <c r="O270" i="1"/>
  <c r="L270" i="1"/>
  <c r="J270" i="1"/>
  <c r="O269" i="1"/>
  <c r="M269" i="1"/>
  <c r="L269" i="1"/>
  <c r="J269" i="1"/>
  <c r="K269" i="1" s="1"/>
  <c r="O268" i="1"/>
  <c r="L268" i="1"/>
  <c r="J268" i="1"/>
  <c r="O267" i="1"/>
  <c r="M267" i="1"/>
  <c r="L267" i="1"/>
  <c r="K267" i="1"/>
  <c r="J267" i="1"/>
  <c r="O266" i="1"/>
  <c r="L266" i="1"/>
  <c r="K266" i="1"/>
  <c r="J266" i="1"/>
  <c r="M266" i="1" s="1"/>
  <c r="O265" i="1"/>
  <c r="M265" i="1"/>
  <c r="L265" i="1"/>
  <c r="K265" i="1"/>
  <c r="J265" i="1"/>
  <c r="O264" i="1"/>
  <c r="M264" i="1"/>
  <c r="L264" i="1"/>
  <c r="J264" i="1"/>
  <c r="K264" i="1" s="1"/>
  <c r="O263" i="1"/>
  <c r="L263" i="1"/>
  <c r="J263" i="1"/>
  <c r="M263" i="1" s="1"/>
  <c r="O262" i="1"/>
  <c r="L262" i="1"/>
  <c r="J262" i="1"/>
  <c r="K262" i="1" s="1"/>
  <c r="O261" i="1"/>
  <c r="L261" i="1"/>
  <c r="J261" i="1"/>
  <c r="K261" i="1" s="1"/>
  <c r="O260" i="1"/>
  <c r="L260" i="1"/>
  <c r="J260" i="1"/>
  <c r="O259" i="1"/>
  <c r="M259" i="1"/>
  <c r="L259" i="1"/>
  <c r="K259" i="1"/>
  <c r="J259" i="1"/>
  <c r="O258" i="1"/>
  <c r="L258" i="1"/>
  <c r="K258" i="1"/>
  <c r="J258" i="1"/>
  <c r="M258" i="1" s="1"/>
  <c r="O257" i="1"/>
  <c r="M257" i="1"/>
  <c r="L257" i="1"/>
  <c r="K257" i="1"/>
  <c r="J257" i="1"/>
  <c r="O256" i="1"/>
  <c r="L256" i="1"/>
  <c r="J256" i="1"/>
  <c r="M256" i="1" s="1"/>
  <c r="O255" i="1"/>
  <c r="M255" i="1"/>
  <c r="L255" i="1"/>
  <c r="J255" i="1"/>
  <c r="K255" i="1" s="1"/>
  <c r="O254" i="1"/>
  <c r="L254" i="1"/>
  <c r="J254" i="1"/>
  <c r="K254" i="1" s="1"/>
  <c r="O253" i="1"/>
  <c r="M253" i="1"/>
  <c r="L253" i="1"/>
  <c r="J253" i="1"/>
  <c r="K253" i="1" s="1"/>
  <c r="O252" i="1"/>
  <c r="L252" i="1"/>
  <c r="J252" i="1"/>
  <c r="O251" i="1"/>
  <c r="M251" i="1"/>
  <c r="L251" i="1"/>
  <c r="K251" i="1"/>
  <c r="J251" i="1"/>
  <c r="O250" i="1"/>
  <c r="L250" i="1"/>
  <c r="K250" i="1"/>
  <c r="J250" i="1"/>
  <c r="M250" i="1" s="1"/>
  <c r="O249" i="1"/>
  <c r="M249" i="1"/>
  <c r="L249" i="1"/>
  <c r="K249" i="1"/>
  <c r="J249" i="1"/>
  <c r="O248" i="1"/>
  <c r="L248" i="1"/>
  <c r="J248" i="1"/>
  <c r="O247" i="1"/>
  <c r="L247" i="1"/>
  <c r="J247" i="1"/>
  <c r="M247" i="1" s="1"/>
  <c r="O246" i="1"/>
  <c r="M246" i="1"/>
  <c r="L246" i="1"/>
  <c r="J246" i="1"/>
  <c r="K246" i="1" s="1"/>
  <c r="O245" i="1"/>
  <c r="M245" i="1"/>
  <c r="L245" i="1"/>
  <c r="J245" i="1"/>
  <c r="K245" i="1" s="1"/>
  <c r="O244" i="1"/>
  <c r="L244" i="1"/>
  <c r="J244" i="1"/>
  <c r="O243" i="1"/>
  <c r="M243" i="1"/>
  <c r="L243" i="1"/>
  <c r="K243" i="1"/>
  <c r="J243" i="1"/>
  <c r="O242" i="1"/>
  <c r="M242" i="1"/>
  <c r="L242" i="1"/>
  <c r="K242" i="1"/>
  <c r="J242" i="1"/>
  <c r="O241" i="1"/>
  <c r="M241" i="1"/>
  <c r="L241" i="1"/>
  <c r="K241" i="1"/>
  <c r="J241" i="1"/>
  <c r="O240" i="1"/>
  <c r="L240" i="1"/>
  <c r="K240" i="1"/>
  <c r="J240" i="1"/>
  <c r="M240" i="1" s="1"/>
  <c r="O239" i="1"/>
  <c r="M239" i="1"/>
  <c r="L239" i="1"/>
  <c r="K239" i="1"/>
  <c r="J239" i="1"/>
  <c r="O238" i="1"/>
  <c r="M238" i="1"/>
  <c r="L238" i="1"/>
  <c r="J238" i="1"/>
  <c r="K238" i="1" s="1"/>
  <c r="O237" i="1"/>
  <c r="M237" i="1"/>
  <c r="L237" i="1"/>
  <c r="J237" i="1"/>
  <c r="K237" i="1" s="1"/>
  <c r="O236" i="1"/>
  <c r="L236" i="1"/>
  <c r="J236" i="1"/>
  <c r="O235" i="1"/>
  <c r="M235" i="1"/>
  <c r="L235" i="1"/>
  <c r="K235" i="1"/>
  <c r="J235" i="1"/>
  <c r="O234" i="1"/>
  <c r="L234" i="1"/>
  <c r="J234" i="1"/>
  <c r="M234" i="1" s="1"/>
  <c r="O233" i="1"/>
  <c r="M233" i="1"/>
  <c r="L233" i="1"/>
  <c r="K233" i="1"/>
  <c r="J233" i="1"/>
  <c r="O232" i="1"/>
  <c r="L232" i="1"/>
  <c r="J232" i="1"/>
  <c r="O231" i="1"/>
  <c r="L231" i="1"/>
  <c r="J231" i="1"/>
  <c r="M231" i="1" s="1"/>
  <c r="O230" i="1"/>
  <c r="M230" i="1"/>
  <c r="L230" i="1"/>
  <c r="J230" i="1"/>
  <c r="K230" i="1" s="1"/>
  <c r="O229" i="1"/>
  <c r="L229" i="1"/>
  <c r="J229" i="1"/>
  <c r="M229" i="1" s="1"/>
  <c r="O228" i="1"/>
  <c r="L228" i="1"/>
  <c r="J228" i="1"/>
  <c r="O227" i="1"/>
  <c r="M227" i="1"/>
  <c r="L227" i="1"/>
  <c r="K227" i="1"/>
  <c r="J227" i="1"/>
  <c r="O226" i="1"/>
  <c r="L226" i="1"/>
  <c r="J226" i="1"/>
  <c r="M226" i="1" s="1"/>
  <c r="O225" i="1"/>
  <c r="M225" i="1"/>
  <c r="L225" i="1"/>
  <c r="K225" i="1"/>
  <c r="J225" i="1"/>
  <c r="O224" i="1"/>
  <c r="L224" i="1"/>
  <c r="K224" i="1"/>
  <c r="J224" i="1"/>
  <c r="M224" i="1" s="1"/>
  <c r="O223" i="1"/>
  <c r="M223" i="1"/>
  <c r="L223" i="1"/>
  <c r="K223" i="1"/>
  <c r="J223" i="1"/>
  <c r="O222" i="1"/>
  <c r="M222" i="1"/>
  <c r="L222" i="1"/>
  <c r="J222" i="1"/>
  <c r="K222" i="1" s="1"/>
  <c r="O221" i="1"/>
  <c r="M221" i="1"/>
  <c r="L221" i="1"/>
  <c r="J221" i="1"/>
  <c r="K221" i="1" s="1"/>
  <c r="O220" i="1"/>
  <c r="L220" i="1"/>
  <c r="J220" i="1"/>
  <c r="O219" i="1"/>
  <c r="M219" i="1"/>
  <c r="L219" i="1"/>
  <c r="K219" i="1"/>
  <c r="J219" i="1"/>
  <c r="O218" i="1"/>
  <c r="L218" i="1"/>
  <c r="J218" i="1"/>
  <c r="M218" i="1" s="1"/>
  <c r="O217" i="1"/>
  <c r="M217" i="1"/>
  <c r="L217" i="1"/>
  <c r="K217" i="1"/>
  <c r="J217" i="1"/>
  <c r="O216" i="1"/>
  <c r="L216" i="1"/>
  <c r="J216" i="1"/>
  <c r="O215" i="1"/>
  <c r="L215" i="1"/>
  <c r="J215" i="1"/>
  <c r="M215" i="1" s="1"/>
  <c r="O214" i="1"/>
  <c r="M214" i="1"/>
  <c r="L214" i="1"/>
  <c r="J214" i="1"/>
  <c r="K214" i="1" s="1"/>
  <c r="O213" i="1"/>
  <c r="L213" i="1"/>
  <c r="J213" i="1"/>
  <c r="M213" i="1" s="1"/>
  <c r="O212" i="1"/>
  <c r="L212" i="1"/>
  <c r="J212" i="1"/>
  <c r="O211" i="1"/>
  <c r="M211" i="1"/>
  <c r="L211" i="1"/>
  <c r="K211" i="1"/>
  <c r="J211" i="1"/>
  <c r="O210" i="1"/>
  <c r="L210" i="1"/>
  <c r="J210" i="1"/>
  <c r="M210" i="1" s="1"/>
  <c r="O209" i="1"/>
  <c r="M209" i="1"/>
  <c r="L209" i="1"/>
  <c r="K209" i="1"/>
  <c r="J209" i="1"/>
  <c r="O208" i="1"/>
  <c r="L208" i="1"/>
  <c r="K208" i="1"/>
  <c r="J208" i="1"/>
  <c r="M208" i="1" s="1"/>
  <c r="O207" i="1"/>
  <c r="M207" i="1"/>
  <c r="L207" i="1"/>
  <c r="K207" i="1"/>
  <c r="J207" i="1"/>
  <c r="O206" i="1"/>
  <c r="M206" i="1"/>
  <c r="L206" i="1"/>
  <c r="J206" i="1"/>
  <c r="K206" i="1" s="1"/>
  <c r="O205" i="1"/>
  <c r="M205" i="1"/>
  <c r="L205" i="1"/>
  <c r="J205" i="1"/>
  <c r="K205" i="1" s="1"/>
  <c r="O204" i="1"/>
  <c r="L204" i="1"/>
  <c r="J204" i="1"/>
  <c r="O203" i="1"/>
  <c r="M203" i="1"/>
  <c r="L203" i="1"/>
  <c r="K203" i="1"/>
  <c r="J203" i="1"/>
  <c r="O202" i="1"/>
  <c r="L202" i="1"/>
  <c r="J202" i="1"/>
  <c r="M202" i="1" s="1"/>
  <c r="O201" i="1"/>
  <c r="M201" i="1"/>
  <c r="L201" i="1"/>
  <c r="J201" i="1"/>
  <c r="K201" i="1" s="1"/>
  <c r="O200" i="1"/>
  <c r="L200" i="1"/>
  <c r="J200" i="1"/>
  <c r="O199" i="1"/>
  <c r="L199" i="1"/>
  <c r="J199" i="1"/>
  <c r="M199" i="1" s="1"/>
  <c r="O198" i="1"/>
  <c r="M198" i="1"/>
  <c r="L198" i="1"/>
  <c r="J198" i="1"/>
  <c r="K198" i="1" s="1"/>
  <c r="O197" i="1"/>
  <c r="M197" i="1"/>
  <c r="L197" i="1"/>
  <c r="J197" i="1"/>
  <c r="K197" i="1" s="1"/>
  <c r="O196" i="1"/>
  <c r="L196" i="1"/>
  <c r="J196" i="1"/>
  <c r="M196" i="1" s="1"/>
  <c r="O195" i="1"/>
  <c r="M195" i="1"/>
  <c r="L195" i="1"/>
  <c r="K195" i="1"/>
  <c r="J195" i="1"/>
  <c r="O194" i="1"/>
  <c r="L194" i="1"/>
  <c r="K194" i="1"/>
  <c r="J194" i="1"/>
  <c r="M194" i="1" s="1"/>
  <c r="O193" i="1"/>
  <c r="M193" i="1"/>
  <c r="L193" i="1"/>
  <c r="K193" i="1"/>
  <c r="J193" i="1"/>
  <c r="O192" i="1"/>
  <c r="M192" i="1"/>
  <c r="L192" i="1"/>
  <c r="J192" i="1"/>
  <c r="K192" i="1" s="1"/>
  <c r="O191" i="1"/>
  <c r="M191" i="1"/>
  <c r="L191" i="1"/>
  <c r="J191" i="1"/>
  <c r="K191" i="1" s="1"/>
  <c r="O190" i="1"/>
  <c r="L190" i="1"/>
  <c r="J190" i="1"/>
  <c r="K190" i="1" s="1"/>
  <c r="O189" i="1"/>
  <c r="L189" i="1"/>
  <c r="K189" i="1"/>
  <c r="J189" i="1"/>
  <c r="M189" i="1" s="1"/>
  <c r="O188" i="1"/>
  <c r="M188" i="1"/>
  <c r="L188" i="1"/>
  <c r="K188" i="1"/>
  <c r="J188" i="1"/>
  <c r="O187" i="1"/>
  <c r="M187" i="1"/>
  <c r="L187" i="1"/>
  <c r="J187" i="1"/>
  <c r="K187" i="1" s="1"/>
  <c r="O186" i="1"/>
  <c r="M186" i="1"/>
  <c r="L186" i="1"/>
  <c r="J186" i="1"/>
  <c r="K186" i="1" s="1"/>
  <c r="O185" i="1"/>
  <c r="M185" i="1"/>
  <c r="L185" i="1"/>
  <c r="J185" i="1"/>
  <c r="K185" i="1" s="1"/>
  <c r="O184" i="1"/>
  <c r="M184" i="1"/>
  <c r="L184" i="1"/>
  <c r="J184" i="1"/>
  <c r="K184" i="1" s="1"/>
  <c r="O183" i="1"/>
  <c r="M183" i="1"/>
  <c r="L183" i="1"/>
  <c r="J183" i="1"/>
  <c r="K183" i="1" s="1"/>
  <c r="O182" i="1"/>
  <c r="M182" i="1"/>
  <c r="L182" i="1"/>
  <c r="J182" i="1"/>
  <c r="K182" i="1" s="1"/>
  <c r="O181" i="1"/>
  <c r="L181" i="1"/>
  <c r="K181" i="1"/>
  <c r="J181" i="1"/>
  <c r="M181" i="1" s="1"/>
  <c r="O180" i="1"/>
  <c r="M180" i="1"/>
  <c r="L180" i="1"/>
  <c r="K180" i="1"/>
  <c r="J180" i="1"/>
  <c r="O179" i="1"/>
  <c r="M179" i="1"/>
  <c r="L179" i="1"/>
  <c r="J179" i="1"/>
  <c r="K179" i="1" s="1"/>
  <c r="O178" i="1"/>
  <c r="M178" i="1"/>
  <c r="L178" i="1"/>
  <c r="J178" i="1"/>
  <c r="K178" i="1" s="1"/>
  <c r="O177" i="1"/>
  <c r="L177" i="1"/>
  <c r="J177" i="1"/>
  <c r="O176" i="1"/>
  <c r="L176" i="1"/>
  <c r="J176" i="1"/>
  <c r="M176" i="1" s="1"/>
  <c r="O175" i="1"/>
  <c r="M175" i="1"/>
  <c r="L175" i="1"/>
  <c r="J175" i="1"/>
  <c r="K175" i="1" s="1"/>
  <c r="O174" i="1"/>
  <c r="L174" i="1"/>
  <c r="J174" i="1"/>
  <c r="M174" i="1" s="1"/>
  <c r="O173" i="1"/>
  <c r="L173" i="1"/>
  <c r="K173" i="1"/>
  <c r="J173" i="1"/>
  <c r="M173" i="1" s="1"/>
  <c r="O172" i="1"/>
  <c r="M172" i="1"/>
  <c r="L172" i="1"/>
  <c r="K172" i="1"/>
  <c r="J172" i="1"/>
  <c r="O171" i="1"/>
  <c r="M171" i="1"/>
  <c r="L171" i="1"/>
  <c r="J171" i="1"/>
  <c r="K171" i="1" s="1"/>
  <c r="O170" i="1"/>
  <c r="M170" i="1"/>
  <c r="L170" i="1"/>
  <c r="J170" i="1"/>
  <c r="K170" i="1" s="1"/>
  <c r="O169" i="1"/>
  <c r="L169" i="1"/>
  <c r="J169" i="1"/>
  <c r="O168" i="1"/>
  <c r="L168" i="1"/>
  <c r="J168" i="1"/>
  <c r="M168" i="1" s="1"/>
  <c r="O167" i="1"/>
  <c r="M167" i="1"/>
  <c r="L167" i="1"/>
  <c r="J167" i="1"/>
  <c r="K167" i="1" s="1"/>
  <c r="O166" i="1"/>
  <c r="L166" i="1"/>
  <c r="J166" i="1"/>
  <c r="M166" i="1" s="1"/>
  <c r="O165" i="1"/>
  <c r="L165" i="1"/>
  <c r="K165" i="1"/>
  <c r="J165" i="1"/>
  <c r="M165" i="1" s="1"/>
  <c r="O164" i="1"/>
  <c r="M164" i="1"/>
  <c r="L164" i="1"/>
  <c r="K164" i="1"/>
  <c r="J164" i="1"/>
  <c r="O163" i="1"/>
  <c r="M163" i="1"/>
  <c r="L163" i="1"/>
  <c r="K163" i="1"/>
  <c r="J163" i="1"/>
  <c r="O162" i="1"/>
  <c r="M162" i="1"/>
  <c r="L162" i="1"/>
  <c r="J162" i="1"/>
  <c r="K162" i="1" s="1"/>
  <c r="O161" i="1"/>
  <c r="L161" i="1"/>
  <c r="J161" i="1"/>
  <c r="O160" i="1"/>
  <c r="L160" i="1"/>
  <c r="J160" i="1"/>
  <c r="M160" i="1" s="1"/>
  <c r="O159" i="1"/>
  <c r="M159" i="1"/>
  <c r="L159" i="1"/>
  <c r="J159" i="1"/>
  <c r="K159" i="1" s="1"/>
  <c r="O158" i="1"/>
  <c r="L158" i="1"/>
  <c r="J158" i="1"/>
  <c r="M158" i="1" s="1"/>
  <c r="O157" i="1"/>
  <c r="L157" i="1"/>
  <c r="K157" i="1"/>
  <c r="J157" i="1"/>
  <c r="M157" i="1" s="1"/>
  <c r="O156" i="1"/>
  <c r="M156" i="1"/>
  <c r="L156" i="1"/>
  <c r="K156" i="1"/>
  <c r="J156" i="1"/>
  <c r="O155" i="1"/>
  <c r="M155" i="1"/>
  <c r="L155" i="1"/>
  <c r="K155" i="1"/>
  <c r="J155" i="1"/>
  <c r="O154" i="1"/>
  <c r="M154" i="1"/>
  <c r="L154" i="1"/>
  <c r="J154" i="1"/>
  <c r="K154" i="1" s="1"/>
  <c r="O153" i="1"/>
  <c r="L153" i="1"/>
  <c r="J153" i="1"/>
  <c r="O152" i="1"/>
  <c r="L152" i="1"/>
  <c r="J152" i="1"/>
  <c r="M152" i="1" s="1"/>
  <c r="O151" i="1"/>
  <c r="M151" i="1"/>
  <c r="L151" i="1"/>
  <c r="J151" i="1"/>
  <c r="K151" i="1" s="1"/>
  <c r="O150" i="1"/>
  <c r="L150" i="1"/>
  <c r="J150" i="1"/>
  <c r="M150" i="1" s="1"/>
  <c r="O149" i="1"/>
  <c r="L149" i="1"/>
  <c r="K149" i="1"/>
  <c r="J149" i="1"/>
  <c r="M149" i="1" s="1"/>
  <c r="O148" i="1"/>
  <c r="M148" i="1"/>
  <c r="L148" i="1"/>
  <c r="K148" i="1"/>
  <c r="J148" i="1"/>
  <c r="O147" i="1"/>
  <c r="M147" i="1"/>
  <c r="L147" i="1"/>
  <c r="K147" i="1"/>
  <c r="J147" i="1"/>
  <c r="O146" i="1"/>
  <c r="M146" i="1"/>
  <c r="L146" i="1"/>
  <c r="J146" i="1"/>
  <c r="K146" i="1" s="1"/>
  <c r="O145" i="1"/>
  <c r="L145" i="1"/>
  <c r="J145" i="1"/>
  <c r="O144" i="1"/>
  <c r="L144" i="1"/>
  <c r="J144" i="1"/>
  <c r="M144" i="1" s="1"/>
  <c r="O143" i="1"/>
  <c r="M143" i="1"/>
  <c r="L143" i="1"/>
  <c r="J143" i="1"/>
  <c r="K143" i="1" s="1"/>
  <c r="O142" i="1"/>
  <c r="L142" i="1"/>
  <c r="K142" i="1"/>
  <c r="J142" i="1"/>
  <c r="M142" i="1" s="1"/>
  <c r="O141" i="1"/>
  <c r="L141" i="1"/>
  <c r="K141" i="1"/>
  <c r="J141" i="1"/>
  <c r="M141" i="1" s="1"/>
  <c r="O140" i="1"/>
  <c r="M140" i="1"/>
  <c r="L140" i="1"/>
  <c r="K140" i="1"/>
  <c r="J140" i="1"/>
  <c r="O139" i="1"/>
  <c r="M139" i="1"/>
  <c r="L139" i="1"/>
  <c r="K139" i="1"/>
  <c r="J139" i="1"/>
  <c r="O138" i="1"/>
  <c r="M138" i="1"/>
  <c r="L138" i="1"/>
  <c r="J138" i="1"/>
  <c r="K138" i="1" s="1"/>
  <c r="O137" i="1"/>
  <c r="L137" i="1"/>
  <c r="J137" i="1"/>
  <c r="O136" i="1"/>
  <c r="L136" i="1"/>
  <c r="J136" i="1"/>
  <c r="M136" i="1" s="1"/>
  <c r="O135" i="1"/>
  <c r="M135" i="1"/>
  <c r="L135" i="1"/>
  <c r="J135" i="1"/>
  <c r="K135" i="1" s="1"/>
  <c r="O134" i="1"/>
  <c r="L134" i="1"/>
  <c r="K134" i="1"/>
  <c r="J134" i="1"/>
  <c r="M134" i="1" s="1"/>
  <c r="O133" i="1"/>
  <c r="L133" i="1"/>
  <c r="K133" i="1"/>
  <c r="J133" i="1"/>
  <c r="M133" i="1" s="1"/>
  <c r="O132" i="1"/>
  <c r="M132" i="1"/>
  <c r="L132" i="1"/>
  <c r="K132" i="1"/>
  <c r="J132" i="1"/>
  <c r="O131" i="1"/>
  <c r="M131" i="1"/>
  <c r="L131" i="1"/>
  <c r="K131" i="1"/>
  <c r="J131" i="1"/>
  <c r="O130" i="1"/>
  <c r="L130" i="1"/>
  <c r="J130" i="1"/>
  <c r="K130" i="1" s="1"/>
  <c r="O129" i="1"/>
  <c r="M129" i="1"/>
  <c r="L129" i="1"/>
  <c r="J129" i="1"/>
  <c r="K129" i="1" s="1"/>
  <c r="O128" i="1"/>
  <c r="L128" i="1"/>
  <c r="J128" i="1"/>
  <c r="M128" i="1" s="1"/>
  <c r="O127" i="1"/>
  <c r="M127" i="1"/>
  <c r="L127" i="1"/>
  <c r="J127" i="1"/>
  <c r="K127" i="1" s="1"/>
  <c r="O126" i="1"/>
  <c r="L126" i="1"/>
  <c r="K126" i="1"/>
  <c r="J126" i="1"/>
  <c r="M126" i="1" s="1"/>
  <c r="O125" i="1"/>
  <c r="L125" i="1"/>
  <c r="K125" i="1"/>
  <c r="J125" i="1"/>
  <c r="M125" i="1" s="1"/>
  <c r="O124" i="1"/>
  <c r="M124" i="1"/>
  <c r="L124" i="1"/>
  <c r="K124" i="1"/>
  <c r="J124" i="1"/>
  <c r="O123" i="1"/>
  <c r="M123" i="1"/>
  <c r="L123" i="1"/>
  <c r="K123" i="1"/>
  <c r="J123" i="1"/>
  <c r="O122" i="1"/>
  <c r="M122" i="1"/>
  <c r="L122" i="1"/>
  <c r="J122" i="1"/>
  <c r="K122" i="1" s="1"/>
  <c r="O121" i="1"/>
  <c r="L121" i="1"/>
  <c r="J121" i="1"/>
  <c r="K121" i="1" s="1"/>
  <c r="O120" i="1"/>
  <c r="L120" i="1"/>
  <c r="J120" i="1"/>
  <c r="O119" i="1"/>
  <c r="M119" i="1"/>
  <c r="L119" i="1"/>
  <c r="J119" i="1"/>
  <c r="K119" i="1" s="1"/>
  <c r="O118" i="1"/>
  <c r="M118" i="1"/>
  <c r="L118" i="1"/>
  <c r="K118" i="1"/>
  <c r="J118" i="1"/>
  <c r="O117" i="1"/>
  <c r="L117" i="1"/>
  <c r="K117" i="1"/>
  <c r="J117" i="1"/>
  <c r="M117" i="1" s="1"/>
  <c r="O116" i="1"/>
  <c r="M116" i="1"/>
  <c r="L116" i="1"/>
  <c r="K116" i="1"/>
  <c r="J116" i="1"/>
  <c r="O115" i="1"/>
  <c r="L115" i="1"/>
  <c r="J115" i="1"/>
  <c r="M115" i="1" s="1"/>
  <c r="O114" i="1"/>
  <c r="M114" i="1"/>
  <c r="L114" i="1"/>
  <c r="J114" i="1"/>
  <c r="K114" i="1" s="1"/>
  <c r="O113" i="1"/>
  <c r="L113" i="1"/>
  <c r="J113" i="1"/>
  <c r="K113" i="1" s="1"/>
  <c r="O112" i="1"/>
  <c r="L112" i="1"/>
  <c r="J112" i="1"/>
  <c r="O111" i="1"/>
  <c r="M111" i="1"/>
  <c r="L111" i="1"/>
  <c r="J111" i="1"/>
  <c r="K111" i="1" s="1"/>
  <c r="O110" i="1"/>
  <c r="L110" i="1"/>
  <c r="K110" i="1"/>
  <c r="J110" i="1"/>
  <c r="M110" i="1" s="1"/>
  <c r="O109" i="1"/>
  <c r="L109" i="1"/>
  <c r="K109" i="1"/>
  <c r="J109" i="1"/>
  <c r="M109" i="1" s="1"/>
  <c r="O108" i="1"/>
  <c r="M108" i="1"/>
  <c r="L108" i="1"/>
  <c r="K108" i="1"/>
  <c r="J108" i="1"/>
  <c r="O107" i="1"/>
  <c r="L107" i="1"/>
  <c r="J107" i="1"/>
  <c r="M107" i="1" s="1"/>
  <c r="O106" i="1"/>
  <c r="M106" i="1"/>
  <c r="L106" i="1"/>
  <c r="J106" i="1"/>
  <c r="K106" i="1" s="1"/>
  <c r="O105" i="1"/>
  <c r="M105" i="1"/>
  <c r="L105" i="1"/>
  <c r="K105" i="1"/>
  <c r="J105" i="1"/>
  <c r="O104" i="1"/>
  <c r="L104" i="1"/>
  <c r="J104" i="1"/>
  <c r="O103" i="1"/>
  <c r="M103" i="1"/>
  <c r="L103" i="1"/>
  <c r="J103" i="1"/>
  <c r="K103" i="1" s="1"/>
  <c r="O102" i="1"/>
  <c r="L102" i="1"/>
  <c r="J102" i="1"/>
  <c r="M102" i="1" s="1"/>
  <c r="O101" i="1"/>
  <c r="L101" i="1"/>
  <c r="K101" i="1"/>
  <c r="J101" i="1"/>
  <c r="M101" i="1" s="1"/>
  <c r="O100" i="1"/>
  <c r="M100" i="1"/>
  <c r="L100" i="1"/>
  <c r="K100" i="1"/>
  <c r="J100" i="1"/>
  <c r="O99" i="1"/>
  <c r="L99" i="1"/>
  <c r="J99" i="1"/>
  <c r="M99" i="1" s="1"/>
  <c r="O98" i="1"/>
  <c r="M98" i="1"/>
  <c r="L98" i="1"/>
  <c r="J98" i="1"/>
  <c r="K98" i="1" s="1"/>
  <c r="O97" i="1"/>
  <c r="M97" i="1"/>
  <c r="L97" i="1"/>
  <c r="K97" i="1"/>
  <c r="J97" i="1"/>
  <c r="O96" i="1"/>
  <c r="L96" i="1"/>
  <c r="J96" i="1"/>
  <c r="O95" i="1"/>
  <c r="M95" i="1"/>
  <c r="L95" i="1"/>
  <c r="J95" i="1"/>
  <c r="K95" i="1" s="1"/>
  <c r="O94" i="1"/>
  <c r="L94" i="1"/>
  <c r="J94" i="1"/>
  <c r="M94" i="1" s="1"/>
  <c r="O93" i="1"/>
  <c r="L93" i="1"/>
  <c r="K93" i="1"/>
  <c r="J93" i="1"/>
  <c r="M93" i="1" s="1"/>
  <c r="O92" i="1"/>
  <c r="M92" i="1"/>
  <c r="L92" i="1"/>
  <c r="K92" i="1"/>
  <c r="J92" i="1"/>
  <c r="O91" i="1"/>
  <c r="L91" i="1"/>
  <c r="J91" i="1"/>
  <c r="K91" i="1" s="1"/>
  <c r="O90" i="1"/>
  <c r="L90" i="1"/>
  <c r="J90" i="1"/>
  <c r="K90" i="1" s="1"/>
  <c r="O89" i="1"/>
  <c r="M89" i="1"/>
  <c r="L89" i="1"/>
  <c r="K89" i="1"/>
  <c r="J89" i="1"/>
  <c r="O88" i="1"/>
  <c r="L88" i="1"/>
  <c r="J88" i="1"/>
  <c r="O87" i="1"/>
  <c r="M87" i="1"/>
  <c r="L87" i="1"/>
  <c r="J87" i="1"/>
  <c r="K87" i="1" s="1"/>
  <c r="O86" i="1"/>
  <c r="M86" i="1"/>
  <c r="L86" i="1"/>
  <c r="K86" i="1"/>
  <c r="J86" i="1"/>
  <c r="O85" i="1"/>
  <c r="L85" i="1"/>
  <c r="K85" i="1"/>
  <c r="J85" i="1"/>
  <c r="M85" i="1" s="1"/>
  <c r="O84" i="1"/>
  <c r="M84" i="1"/>
  <c r="L84" i="1"/>
  <c r="K84" i="1"/>
  <c r="J84" i="1"/>
  <c r="O83" i="1"/>
  <c r="L83" i="1"/>
  <c r="J83" i="1"/>
  <c r="M83" i="1" s="1"/>
  <c r="O82" i="1"/>
  <c r="M82" i="1"/>
  <c r="L82" i="1"/>
  <c r="J82" i="1"/>
  <c r="K82" i="1" s="1"/>
  <c r="O81" i="1"/>
  <c r="L81" i="1"/>
  <c r="J81" i="1"/>
  <c r="M81" i="1" s="1"/>
  <c r="O80" i="1"/>
  <c r="L80" i="1"/>
  <c r="J80" i="1"/>
  <c r="M80" i="1" s="1"/>
  <c r="O79" i="1"/>
  <c r="M79" i="1"/>
  <c r="L79" i="1"/>
  <c r="J79" i="1"/>
  <c r="K79" i="1" s="1"/>
  <c r="O78" i="1"/>
  <c r="M78" i="1"/>
  <c r="L78" i="1"/>
  <c r="K78" i="1"/>
  <c r="J78" i="1"/>
  <c r="O77" i="1"/>
  <c r="L77" i="1"/>
  <c r="K77" i="1"/>
  <c r="J77" i="1"/>
  <c r="M77" i="1" s="1"/>
  <c r="O76" i="1"/>
  <c r="M76" i="1"/>
  <c r="L76" i="1"/>
  <c r="K76" i="1"/>
  <c r="J76" i="1"/>
  <c r="O75" i="1"/>
  <c r="M75" i="1"/>
  <c r="L75" i="1"/>
  <c r="K75" i="1"/>
  <c r="J75" i="1"/>
  <c r="O74" i="1"/>
  <c r="L74" i="1"/>
  <c r="J74" i="1"/>
  <c r="K74" i="1" s="1"/>
  <c r="O73" i="1"/>
  <c r="L73" i="1"/>
  <c r="J73" i="1"/>
  <c r="K73" i="1" s="1"/>
  <c r="O72" i="1"/>
  <c r="L72" i="1"/>
  <c r="J72" i="1"/>
  <c r="M72" i="1" s="1"/>
  <c r="O71" i="1"/>
  <c r="M71" i="1"/>
  <c r="L71" i="1"/>
  <c r="J71" i="1"/>
  <c r="K71" i="1" s="1"/>
  <c r="O70" i="1"/>
  <c r="M70" i="1"/>
  <c r="L70" i="1"/>
  <c r="K70" i="1"/>
  <c r="J70" i="1"/>
  <c r="O69" i="1"/>
  <c r="L69" i="1"/>
  <c r="K69" i="1"/>
  <c r="J69" i="1"/>
  <c r="M69" i="1" s="1"/>
  <c r="O68" i="1"/>
  <c r="M68" i="1"/>
  <c r="L68" i="1"/>
  <c r="K68" i="1"/>
  <c r="J68" i="1"/>
  <c r="O67" i="1"/>
  <c r="L67" i="1"/>
  <c r="J67" i="1"/>
  <c r="M67" i="1" s="1"/>
  <c r="O66" i="1"/>
  <c r="M66" i="1"/>
  <c r="L66" i="1"/>
  <c r="J66" i="1"/>
  <c r="K66" i="1" s="1"/>
  <c r="O65" i="1"/>
  <c r="L65" i="1"/>
  <c r="J65" i="1"/>
  <c r="M65" i="1" s="1"/>
  <c r="O64" i="1"/>
  <c r="L64" i="1"/>
  <c r="J64" i="1"/>
  <c r="M64" i="1" s="1"/>
  <c r="O63" i="1"/>
  <c r="L63" i="1"/>
  <c r="J63" i="1"/>
  <c r="K63" i="1" s="1"/>
  <c r="O62" i="1"/>
  <c r="M62" i="1"/>
  <c r="L62" i="1"/>
  <c r="K62" i="1"/>
  <c r="J62" i="1"/>
  <c r="O61" i="1"/>
  <c r="L61" i="1"/>
  <c r="K61" i="1"/>
  <c r="J61" i="1"/>
  <c r="M61" i="1" s="1"/>
  <c r="O60" i="1"/>
  <c r="M60" i="1"/>
  <c r="L60" i="1"/>
  <c r="K60" i="1"/>
  <c r="J60" i="1"/>
  <c r="O59" i="1"/>
  <c r="M59" i="1"/>
  <c r="L59" i="1"/>
  <c r="K59" i="1"/>
  <c r="J59" i="1"/>
  <c r="O58" i="1"/>
  <c r="L58" i="1"/>
  <c r="J58" i="1"/>
  <c r="M58" i="1" s="1"/>
  <c r="O57" i="1"/>
  <c r="M57" i="1"/>
  <c r="L57" i="1"/>
  <c r="K57" i="1"/>
  <c r="J57" i="1"/>
  <c r="O56" i="1"/>
  <c r="L56" i="1"/>
  <c r="J56" i="1"/>
  <c r="M56" i="1" s="1"/>
  <c r="O55" i="1"/>
  <c r="M55" i="1"/>
  <c r="L55" i="1"/>
  <c r="J55" i="1"/>
  <c r="K55" i="1" s="1"/>
  <c r="O54" i="1"/>
  <c r="M54" i="1"/>
  <c r="L54" i="1"/>
  <c r="K54" i="1"/>
  <c r="J54" i="1"/>
  <c r="O53" i="1"/>
  <c r="L53" i="1"/>
  <c r="J53" i="1"/>
  <c r="M53" i="1" s="1"/>
  <c r="O52" i="1"/>
  <c r="M52" i="1"/>
  <c r="L52" i="1"/>
  <c r="K52" i="1"/>
  <c r="J52" i="1"/>
  <c r="O51" i="1"/>
  <c r="M51" i="1"/>
  <c r="L51" i="1"/>
  <c r="K51" i="1"/>
  <c r="J51" i="1"/>
  <c r="O50" i="1"/>
  <c r="L50" i="1"/>
  <c r="J50" i="1"/>
  <c r="M50" i="1" s="1"/>
  <c r="O49" i="1"/>
  <c r="M49" i="1"/>
  <c r="L49" i="1"/>
  <c r="K49" i="1"/>
  <c r="J49" i="1"/>
  <c r="O48" i="1"/>
  <c r="L48" i="1"/>
  <c r="J48" i="1"/>
  <c r="M48" i="1" s="1"/>
  <c r="O47" i="1"/>
  <c r="M47" i="1"/>
  <c r="L47" i="1"/>
  <c r="J47" i="1"/>
  <c r="K47" i="1" s="1"/>
  <c r="O46" i="1"/>
  <c r="M46" i="1"/>
  <c r="L46" i="1"/>
  <c r="K46" i="1"/>
  <c r="J46" i="1"/>
  <c r="O45" i="1"/>
  <c r="M45" i="1"/>
  <c r="L45" i="1"/>
  <c r="J45" i="1"/>
  <c r="K45" i="1" s="1"/>
  <c r="O44" i="1"/>
  <c r="M44" i="1"/>
  <c r="L44" i="1"/>
  <c r="K44" i="1"/>
  <c r="J44" i="1"/>
  <c r="O43" i="1"/>
  <c r="L43" i="1"/>
  <c r="J43" i="1"/>
  <c r="M43" i="1" s="1"/>
  <c r="O42" i="1"/>
  <c r="M42" i="1"/>
  <c r="L42" i="1"/>
  <c r="K42" i="1"/>
  <c r="J42" i="1"/>
  <c r="O41" i="1"/>
  <c r="L41" i="1"/>
  <c r="J41" i="1"/>
  <c r="M41" i="1" s="1"/>
  <c r="O40" i="1"/>
  <c r="L40" i="1"/>
  <c r="J40" i="1"/>
  <c r="M40" i="1" s="1"/>
  <c r="O39" i="1"/>
  <c r="M39" i="1"/>
  <c r="L39" i="1"/>
  <c r="J39" i="1"/>
  <c r="K39" i="1" s="1"/>
  <c r="O38" i="1"/>
  <c r="L38" i="1"/>
  <c r="J38" i="1"/>
  <c r="K38" i="1" s="1"/>
  <c r="O37" i="1"/>
  <c r="L37" i="1"/>
  <c r="J37" i="1"/>
  <c r="M37" i="1" s="1"/>
  <c r="O36" i="1"/>
  <c r="M36" i="1"/>
  <c r="L36" i="1"/>
  <c r="K36" i="1"/>
  <c r="J36" i="1"/>
  <c r="O35" i="1"/>
  <c r="L35" i="1"/>
  <c r="J35" i="1"/>
  <c r="M35" i="1" s="1"/>
  <c r="O34" i="1"/>
  <c r="M34" i="1"/>
  <c r="L34" i="1"/>
  <c r="K34" i="1"/>
  <c r="J34" i="1"/>
  <c r="O33" i="1"/>
  <c r="L33" i="1"/>
  <c r="J33" i="1"/>
  <c r="M33" i="1" s="1"/>
  <c r="O32" i="1"/>
  <c r="M32" i="1"/>
  <c r="L32" i="1"/>
  <c r="K32" i="1"/>
  <c r="J32" i="1"/>
  <c r="O31" i="1"/>
  <c r="M31" i="1"/>
  <c r="L31" i="1"/>
  <c r="J31" i="1"/>
  <c r="K31" i="1" s="1"/>
  <c r="O30" i="1"/>
  <c r="L30" i="1"/>
  <c r="J30" i="1"/>
  <c r="M30" i="1" s="1"/>
  <c r="O29" i="1"/>
  <c r="L29" i="1"/>
  <c r="J29" i="1"/>
  <c r="M29" i="1" s="1"/>
  <c r="O28" i="1"/>
  <c r="M28" i="1"/>
  <c r="L28" i="1"/>
  <c r="K28" i="1"/>
  <c r="J28" i="1"/>
  <c r="O27" i="1"/>
  <c r="L27" i="1"/>
  <c r="J27" i="1"/>
  <c r="K27" i="1" s="1"/>
  <c r="O26" i="1"/>
  <c r="M26" i="1"/>
  <c r="L26" i="1"/>
  <c r="K26" i="1"/>
  <c r="J26" i="1"/>
  <c r="O25" i="1"/>
  <c r="L25" i="1"/>
  <c r="J25" i="1"/>
  <c r="M25" i="1" s="1"/>
  <c r="O24" i="1"/>
  <c r="M24" i="1"/>
  <c r="L24" i="1"/>
  <c r="K24" i="1"/>
  <c r="J24" i="1"/>
  <c r="O23" i="1"/>
  <c r="L23" i="1"/>
  <c r="J23" i="1"/>
  <c r="K23" i="1" s="1"/>
  <c r="O22" i="1"/>
  <c r="L22" i="1"/>
  <c r="J22" i="1"/>
  <c r="K22" i="1" s="1"/>
  <c r="O21" i="1"/>
  <c r="L21" i="1"/>
  <c r="J21" i="1"/>
  <c r="M21" i="1" s="1"/>
  <c r="O20" i="1"/>
  <c r="M20" i="1"/>
  <c r="L20" i="1"/>
  <c r="K20" i="1"/>
  <c r="J20" i="1"/>
  <c r="O19" i="1"/>
  <c r="L19" i="1"/>
  <c r="J19" i="1"/>
  <c r="M19" i="1" s="1"/>
  <c r="O18" i="1"/>
  <c r="L18" i="1"/>
  <c r="J18" i="1"/>
  <c r="M18" i="1" s="1"/>
  <c r="O17" i="1"/>
  <c r="L17" i="1"/>
  <c r="J17" i="1"/>
  <c r="K17" i="1" s="1"/>
  <c r="O16" i="1"/>
  <c r="M16" i="1"/>
  <c r="L16" i="1"/>
  <c r="K16" i="1"/>
  <c r="J16" i="1"/>
  <c r="O15" i="1"/>
  <c r="L15" i="1"/>
  <c r="J15" i="1"/>
  <c r="K15" i="1" s="1"/>
  <c r="O14" i="1"/>
  <c r="L14" i="1"/>
  <c r="J14" i="1"/>
  <c r="M14" i="1" s="1"/>
  <c r="O13" i="1"/>
  <c r="L13" i="1"/>
  <c r="J13" i="1"/>
  <c r="M13" i="1" s="1"/>
  <c r="O12" i="1"/>
  <c r="M12" i="1"/>
  <c r="L12" i="1"/>
  <c r="K12" i="1"/>
  <c r="J12" i="1"/>
  <c r="O11" i="1"/>
  <c r="M11" i="1"/>
  <c r="L11" i="1"/>
  <c r="J11" i="1"/>
  <c r="K11" i="1" s="1"/>
  <c r="O10" i="1"/>
  <c r="M10" i="1"/>
  <c r="L10" i="1"/>
  <c r="J10" i="1"/>
  <c r="K10" i="1" s="1"/>
  <c r="O9" i="1"/>
  <c r="M9" i="1"/>
  <c r="L9" i="1"/>
  <c r="J9" i="1"/>
  <c r="K9" i="1" s="1"/>
  <c r="O8" i="1"/>
  <c r="M8" i="1"/>
  <c r="L8" i="1"/>
  <c r="J8" i="1"/>
  <c r="K8" i="1" s="1"/>
  <c r="O7" i="1"/>
  <c r="M7" i="1"/>
  <c r="L7" i="1"/>
  <c r="J7" i="1"/>
  <c r="K7" i="1" s="1"/>
  <c r="R6" i="1"/>
  <c r="O6" i="1"/>
  <c r="M6" i="1"/>
  <c r="L6" i="1"/>
  <c r="K6" i="1"/>
  <c r="J6" i="1"/>
  <c r="O5" i="1"/>
  <c r="L5" i="1"/>
  <c r="J5" i="1"/>
  <c r="M5" i="1" s="1"/>
  <c r="O4" i="1"/>
  <c r="L4" i="1"/>
  <c r="J4" i="1"/>
  <c r="K4" i="1" s="1"/>
  <c r="O3" i="1"/>
  <c r="M3" i="1"/>
  <c r="L3" i="1"/>
  <c r="K3" i="1"/>
  <c r="J3" i="1"/>
  <c r="O2" i="1"/>
  <c r="L2" i="1"/>
  <c r="J2" i="1"/>
  <c r="M2" i="1" s="1"/>
  <c r="Q6" i="1" l="1"/>
  <c r="M112" i="1"/>
  <c r="K112" i="1"/>
  <c r="M4" i="1"/>
  <c r="K14" i="1"/>
  <c r="M17" i="1"/>
  <c r="K19" i="1"/>
  <c r="M22" i="1"/>
  <c r="M27" i="1"/>
  <c r="K29" i="1"/>
  <c r="K41" i="1"/>
  <c r="K56" i="1"/>
  <c r="M73" i="1"/>
  <c r="M91" i="1"/>
  <c r="K99" i="1"/>
  <c r="M232" i="1"/>
  <c r="K232" i="1"/>
  <c r="K310" i="1"/>
  <c r="M310" i="1"/>
  <c r="M352" i="1"/>
  <c r="K352" i="1"/>
  <c r="M88" i="1"/>
  <c r="K88" i="1"/>
  <c r="M120" i="1"/>
  <c r="K120" i="1"/>
  <c r="M177" i="1"/>
  <c r="K177" i="1"/>
  <c r="M248" i="1"/>
  <c r="K248" i="1"/>
  <c r="M438" i="1"/>
  <c r="K438" i="1"/>
  <c r="K33" i="1"/>
  <c r="K43" i="1"/>
  <c r="K48" i="1"/>
  <c r="K58" i="1"/>
  <c r="K65" i="1"/>
  <c r="K72" i="1"/>
  <c r="K81" i="1"/>
  <c r="K107" i="1"/>
  <c r="M216" i="1"/>
  <c r="K216" i="1"/>
  <c r="M348" i="1"/>
  <c r="K348" i="1"/>
  <c r="K432" i="1"/>
  <c r="M432" i="1"/>
  <c r="M502" i="1"/>
  <c r="K502" i="1"/>
  <c r="M510" i="1"/>
  <c r="K510" i="1"/>
  <c r="K21" i="1"/>
  <c r="K18" i="1"/>
  <c r="K40" i="1"/>
  <c r="K53" i="1"/>
  <c r="M63" i="1"/>
  <c r="K67" i="1"/>
  <c r="K83" i="1"/>
  <c r="M90" i="1"/>
  <c r="M96" i="1"/>
  <c r="K96" i="1"/>
  <c r="K115" i="1"/>
  <c r="M130" i="1"/>
  <c r="M169" i="1"/>
  <c r="K169" i="1"/>
  <c r="M244" i="1"/>
  <c r="K244" i="1"/>
  <c r="M303" i="1"/>
  <c r="K303" i="1"/>
  <c r="M494" i="1"/>
  <c r="K494" i="1"/>
  <c r="K13" i="1"/>
  <c r="M23" i="1"/>
  <c r="K25" i="1"/>
  <c r="K30" i="1"/>
  <c r="K35" i="1"/>
  <c r="M38" i="1"/>
  <c r="K50" i="1"/>
  <c r="M74" i="1"/>
  <c r="K94" i="1"/>
  <c r="M113" i="1"/>
  <c r="M161" i="1"/>
  <c r="K161" i="1"/>
  <c r="K301" i="1"/>
  <c r="M301" i="1"/>
  <c r="M343" i="1"/>
  <c r="K343" i="1"/>
  <c r="K424" i="1"/>
  <c r="M424" i="1"/>
  <c r="M486" i="1"/>
  <c r="K486" i="1"/>
  <c r="M104" i="1"/>
  <c r="K104" i="1"/>
  <c r="M153" i="1"/>
  <c r="K153" i="1"/>
  <c r="M200" i="1"/>
  <c r="K200" i="1"/>
  <c r="K341" i="1"/>
  <c r="M341" i="1"/>
  <c r="M478" i="1"/>
  <c r="K478" i="1"/>
  <c r="K5" i="1"/>
  <c r="K2" i="1"/>
  <c r="M15" i="1"/>
  <c r="K37" i="1"/>
  <c r="K64" i="1"/>
  <c r="K80" i="1"/>
  <c r="K102" i="1"/>
  <c r="M121" i="1"/>
  <c r="M137" i="1"/>
  <c r="K137" i="1"/>
  <c r="M145" i="1"/>
  <c r="K145" i="1"/>
  <c r="K270" i="1"/>
  <c r="M270" i="1"/>
  <c r="K416" i="1"/>
  <c r="M416" i="1"/>
  <c r="M268" i="1"/>
  <c r="K268" i="1"/>
  <c r="M422" i="1"/>
  <c r="K422" i="1"/>
  <c r="M430" i="1"/>
  <c r="K430" i="1"/>
  <c r="M518" i="1"/>
  <c r="K518" i="1"/>
  <c r="K150" i="1"/>
  <c r="K158" i="1"/>
  <c r="K166" i="1"/>
  <c r="K174" i="1"/>
  <c r="K263" i="1"/>
  <c r="K272" i="1"/>
  <c r="M292" i="1"/>
  <c r="K292" i="1"/>
  <c r="K312" i="1"/>
  <c r="M332" i="1"/>
  <c r="K332" i="1"/>
  <c r="K367" i="1"/>
  <c r="M526" i="1"/>
  <c r="K526" i="1"/>
  <c r="M190" i="1"/>
  <c r="K202" i="1"/>
  <c r="M204" i="1"/>
  <c r="K204" i="1"/>
  <c r="K213" i="1"/>
  <c r="K218" i="1"/>
  <c r="M220" i="1"/>
  <c r="K220" i="1"/>
  <c r="K229" i="1"/>
  <c r="K234" i="1"/>
  <c r="M236" i="1"/>
  <c r="K236" i="1"/>
  <c r="M252" i="1"/>
  <c r="K252" i="1"/>
  <c r="M261" i="1"/>
  <c r="M334" i="1"/>
  <c r="M356" i="1"/>
  <c r="K356" i="1"/>
  <c r="M365" i="1"/>
  <c r="M391" i="1"/>
  <c r="M399" i="1"/>
  <c r="M455" i="1"/>
  <c r="M528" i="1"/>
  <c r="M534" i="1"/>
  <c r="K534" i="1"/>
  <c r="M542" i="1"/>
  <c r="K542" i="1"/>
  <c r="K128" i="1"/>
  <c r="K136" i="1"/>
  <c r="K144" i="1"/>
  <c r="K152" i="1"/>
  <c r="K160" i="1"/>
  <c r="K168" i="1"/>
  <c r="K176" i="1"/>
  <c r="K199" i="1"/>
  <c r="K215" i="1"/>
  <c r="K231" i="1"/>
  <c r="K247" i="1"/>
  <c r="M254" i="1"/>
  <c r="K256" i="1"/>
  <c r="M276" i="1"/>
  <c r="K276" i="1"/>
  <c r="M285" i="1"/>
  <c r="M316" i="1"/>
  <c r="K316" i="1"/>
  <c r="M325" i="1"/>
  <c r="K351" i="1"/>
  <c r="M358" i="1"/>
  <c r="K360" i="1"/>
  <c r="M375" i="1"/>
  <c r="M447" i="1"/>
  <c r="M536" i="1"/>
  <c r="M544" i="1"/>
  <c r="M300" i="1"/>
  <c r="K300" i="1"/>
  <c r="M318" i="1"/>
  <c r="M340" i="1"/>
  <c r="K340" i="1"/>
  <c r="M439" i="1"/>
  <c r="M479" i="1"/>
  <c r="M487" i="1"/>
  <c r="M495" i="1"/>
  <c r="M260" i="1"/>
  <c r="K260" i="1"/>
  <c r="M364" i="1"/>
  <c r="K364" i="1"/>
  <c r="M382" i="1"/>
  <c r="K382" i="1"/>
  <c r="M390" i="1"/>
  <c r="K390" i="1"/>
  <c r="M398" i="1"/>
  <c r="K398" i="1"/>
  <c r="M415" i="1"/>
  <c r="M423" i="1"/>
  <c r="M431" i="1"/>
  <c r="M454" i="1"/>
  <c r="K454" i="1"/>
  <c r="K196" i="1"/>
  <c r="K210" i="1"/>
  <c r="M212" i="1"/>
  <c r="K212" i="1"/>
  <c r="K226" i="1"/>
  <c r="M228" i="1"/>
  <c r="K228" i="1"/>
  <c r="M262" i="1"/>
  <c r="M284" i="1"/>
  <c r="K284" i="1"/>
  <c r="M293" i="1"/>
  <c r="M324" i="1"/>
  <c r="K324" i="1"/>
  <c r="M333" i="1"/>
  <c r="M366" i="1"/>
  <c r="M374" i="1"/>
  <c r="K374" i="1"/>
  <c r="M384" i="1"/>
  <c r="M392" i="1"/>
  <c r="M400" i="1"/>
  <c r="M406" i="1"/>
  <c r="K406" i="1"/>
  <c r="M446" i="1"/>
  <c r="K446" i="1"/>
  <c r="M456" i="1"/>
  <c r="M462" i="1"/>
  <c r="K462" i="1"/>
  <c r="M373" i="1"/>
  <c r="M381" i="1"/>
  <c r="M437" i="1"/>
  <c r="M445" i="1"/>
  <c r="M453" i="1"/>
  <c r="K372" i="1"/>
  <c r="K380" i="1"/>
  <c r="K388" i="1"/>
  <c r="K396" i="1"/>
  <c r="K420" i="1"/>
  <c r="K428" i="1"/>
  <c r="K436" i="1"/>
  <c r="K444" i="1"/>
  <c r="K452" i="1"/>
  <c r="K468" i="1"/>
  <c r="K476" i="1"/>
  <c r="K484" i="1"/>
  <c r="K492" i="1"/>
  <c r="K500" i="1"/>
  <c r="K508" i="1"/>
  <c r="K524" i="1"/>
  <c r="K532" i="1"/>
  <c r="K540" i="1"/>
  <c r="K548" i="1"/>
</calcChain>
</file>

<file path=xl/sharedStrings.xml><?xml version="1.0" encoding="utf-8"?>
<sst xmlns="http://schemas.openxmlformats.org/spreadsheetml/2006/main" count="3106" uniqueCount="200">
  <si>
    <t>game_id</t>
  </si>
  <si>
    <t>game_date</t>
  </si>
  <si>
    <t>home_team</t>
  </si>
  <si>
    <t>away_team</t>
  </si>
  <si>
    <t>home_team_code</t>
  </si>
  <si>
    <t>away_team_code</t>
  </si>
  <si>
    <t>home_win_percent</t>
  </si>
  <si>
    <t>home_win_proba</t>
  </si>
  <si>
    <t>model_name</t>
  </si>
  <si>
    <t>confidence</t>
  </si>
  <si>
    <t>confidence_bucket</t>
  </si>
  <si>
    <t>prediction_side</t>
  </si>
  <si>
    <t>brier_component</t>
  </si>
  <si>
    <t>result</t>
  </si>
  <si>
    <t>correct</t>
  </si>
  <si>
    <t>2026-04-08</t>
  </si>
  <si>
    <t>두산</t>
  </si>
  <si>
    <t>키움</t>
  </si>
  <si>
    <t>full</t>
  </si>
  <si>
    <t>SSG</t>
  </si>
  <si>
    <t>한화</t>
  </si>
  <si>
    <t>KIA</t>
  </si>
  <si>
    <t>삼성</t>
  </si>
  <si>
    <t>롯데</t>
  </si>
  <si>
    <t>KT</t>
  </si>
  <si>
    <t>avg</t>
  </si>
  <si>
    <t>avg_real</t>
  </si>
  <si>
    <t>NC</t>
  </si>
  <si>
    <t>LG</t>
  </si>
  <si>
    <t>2026-04-09</t>
  </si>
  <si>
    <t>sp</t>
  </si>
  <si>
    <t>cancel</t>
  </si>
  <si>
    <t>2026-04-10</t>
  </si>
  <si>
    <t>2026-04-11</t>
  </si>
  <si>
    <t>2026-04-12</t>
  </si>
  <si>
    <t>2026-04-14</t>
  </si>
  <si>
    <t>non</t>
  </si>
  <si>
    <t>2026-04-15</t>
  </si>
  <si>
    <t>2026-04-16</t>
  </si>
  <si>
    <t>2026-04-17</t>
  </si>
  <si>
    <t>2026-04-18</t>
  </si>
  <si>
    <t>2026-04-19</t>
  </si>
  <si>
    <t>2026-04-21</t>
  </si>
  <si>
    <t>2026-04-22</t>
  </si>
  <si>
    <t>2026-04-23</t>
  </si>
  <si>
    <t>core_full</t>
  </si>
  <si>
    <t>2026-04-24</t>
  </si>
  <si>
    <t>2026-04-25</t>
  </si>
  <si>
    <t>core_sp</t>
  </si>
  <si>
    <t>2026-04-26</t>
  </si>
  <si>
    <t>draw</t>
  </si>
  <si>
    <t>2026-04-28</t>
  </si>
  <si>
    <t>2026-04-29</t>
  </si>
  <si>
    <t>2026-04-30</t>
  </si>
  <si>
    <t>2026-05-01</t>
  </si>
  <si>
    <t>2026-05-02</t>
  </si>
  <si>
    <t>2026-05-03</t>
  </si>
  <si>
    <t>2026-05-05</t>
  </si>
  <si>
    <t>2026-05-06</t>
  </si>
  <si>
    <t>2026-05-07</t>
  </si>
  <si>
    <t>2026-05-08</t>
  </si>
  <si>
    <t>2026-05-09</t>
  </si>
  <si>
    <t>2026-05-10</t>
  </si>
  <si>
    <t>2026-05-12</t>
  </si>
  <si>
    <t>2026-05-13</t>
  </si>
  <si>
    <t>2026-05-14</t>
  </si>
  <si>
    <t>2026-05-15</t>
  </si>
  <si>
    <t>2026-05-16</t>
  </si>
  <si>
    <t>2026-05-17</t>
  </si>
  <si>
    <t>2026-05-19</t>
  </si>
  <si>
    <t>elo_sp</t>
  </si>
  <si>
    <t>2026-05-20</t>
  </si>
  <si>
    <t>2026-05-21</t>
  </si>
  <si>
    <t>2026-05-22</t>
  </si>
  <si>
    <t>2026-05-23</t>
  </si>
  <si>
    <t>2026-05-24</t>
  </si>
  <si>
    <t>2026-05-26</t>
  </si>
  <si>
    <t>2026-05-27</t>
  </si>
  <si>
    <t>elo_full</t>
  </si>
  <si>
    <t>2026-05-28</t>
  </si>
  <si>
    <t>2026-05-29</t>
  </si>
  <si>
    <t>2026-05-30</t>
  </si>
  <si>
    <t>2026-05-31</t>
  </si>
  <si>
    <t>2026-06-02</t>
  </si>
  <si>
    <t>2026-06-03</t>
  </si>
  <si>
    <t>2026-06-04</t>
  </si>
  <si>
    <t>2026-06-05</t>
  </si>
  <si>
    <t>2026-06-06</t>
  </si>
  <si>
    <t>2026-06-07</t>
  </si>
  <si>
    <t>2026-06-09</t>
  </si>
  <si>
    <t>2026-06-10</t>
  </si>
  <si>
    <t>2026-06-11</t>
  </si>
  <si>
    <t>2026-06-12</t>
  </si>
  <si>
    <t>2026-06-13</t>
  </si>
  <si>
    <t>2026-06-14</t>
  </si>
  <si>
    <t>2026-06-16</t>
  </si>
  <si>
    <t>2026-06-17</t>
  </si>
  <si>
    <t>2026-06-18</t>
  </si>
  <si>
    <t>2026-06-19</t>
  </si>
  <si>
    <t>2026-06-20</t>
  </si>
  <si>
    <t>2026-06-21</t>
  </si>
  <si>
    <t>2026-06-23</t>
  </si>
  <si>
    <t>2026-06-24</t>
  </si>
  <si>
    <t>2026-06-25</t>
  </si>
  <si>
    <t>2026-06-26</t>
  </si>
  <si>
    <t>2026-06-30</t>
  </si>
  <si>
    <t>2026-07-01</t>
  </si>
  <si>
    <t>2026-07-02</t>
  </si>
  <si>
    <t>2026-07-03</t>
  </si>
  <si>
    <t>2026-07-05</t>
  </si>
  <si>
    <t>2026-07-07</t>
  </si>
  <si>
    <t>2026-07-08</t>
  </si>
  <si>
    <t>2026-07-09</t>
  </si>
  <si>
    <t>2026-07-16</t>
  </si>
  <si>
    <t>2026-07-17</t>
  </si>
  <si>
    <t>2026-07-18</t>
  </si>
  <si>
    <t>2026-07-19</t>
  </si>
  <si>
    <t>2026-07-21</t>
  </si>
  <si>
    <t>2026-07-22</t>
  </si>
  <si>
    <t>2026-07-23</t>
  </si>
  <si>
    <t>2026-07-24</t>
  </si>
  <si>
    <t>2026-07-25</t>
  </si>
  <si>
    <t>2026-07-26</t>
  </si>
  <si>
    <t>2026-07-28</t>
  </si>
  <si>
    <t>2026-07-29</t>
  </si>
  <si>
    <t>2026-07-30</t>
  </si>
  <si>
    <t>2026-07-31</t>
  </si>
  <si>
    <t>2026-08-01</t>
  </si>
  <si>
    <t>2026-08-02</t>
  </si>
  <si>
    <t>2026-08-04</t>
  </si>
  <si>
    <t>2026-08-05</t>
  </si>
  <si>
    <t>2026-08-11</t>
  </si>
  <si>
    <t>2026-08-12</t>
  </si>
  <si>
    <t>2026-08-13</t>
  </si>
  <si>
    <t>2026-08-14</t>
  </si>
  <si>
    <t>2026-08-15</t>
  </si>
  <si>
    <t>2026-08-16</t>
  </si>
  <si>
    <t>2026-08-18</t>
  </si>
  <si>
    <t>2026-08-20</t>
  </si>
  <si>
    <t>2026-08-21</t>
  </si>
  <si>
    <t>2026-08-22</t>
  </si>
  <si>
    <t>2026-08-23</t>
  </si>
  <si>
    <t>2026-08-25</t>
  </si>
  <si>
    <t>elo_sp_l2</t>
  </si>
  <si>
    <t>2026-08-26</t>
  </si>
  <si>
    <t>2026-08-27</t>
  </si>
  <si>
    <t>2026-09-01</t>
  </si>
  <si>
    <t>2026-09-02</t>
  </si>
  <si>
    <t>elo_sp_l2_shrink_alpha_0.8</t>
  </si>
  <si>
    <t>50~55</t>
  </si>
  <si>
    <t>AWAY</t>
  </si>
  <si>
    <t>55~60</t>
  </si>
  <si>
    <t>HOME</t>
  </si>
  <si>
    <t>2026-09-03</t>
  </si>
  <si>
    <t>60~65</t>
  </si>
  <si>
    <t>2026-09-04</t>
  </si>
  <si>
    <t>65~70</t>
  </si>
  <si>
    <t>2026-09-05</t>
  </si>
  <si>
    <t>2026-09-06</t>
  </si>
  <si>
    <t>2026-09-08</t>
  </si>
  <si>
    <t>2026-09-09</t>
  </si>
  <si>
    <t>2026-09-10</t>
  </si>
  <si>
    <t>2026-09-15</t>
  </si>
  <si>
    <t>2026-09-16</t>
  </si>
  <si>
    <t>2026-09-17</t>
  </si>
  <si>
    <t>2026-09-18</t>
  </si>
  <si>
    <t>2026-09-19</t>
  </si>
  <si>
    <t>2026-09-22</t>
  </si>
  <si>
    <t>2026-09-23</t>
  </si>
  <si>
    <t>2026-09-25</t>
  </si>
  <si>
    <t>2026-09-26</t>
  </si>
  <si>
    <t>2026-09-27</t>
  </si>
  <si>
    <t>2026-09-29</t>
  </si>
  <si>
    <t>70~100</t>
  </si>
  <si>
    <t>2026-09-30</t>
  </si>
  <si>
    <t>2026-10-01</t>
  </si>
  <si>
    <t>2026-10-03</t>
  </si>
  <si>
    <t>2026-10-04</t>
  </si>
  <si>
    <t>2026-10-05</t>
  </si>
  <si>
    <t>2026-10-06</t>
  </si>
  <si>
    <t>2026-10-07</t>
  </si>
  <si>
    <t>2026-10-09</t>
  </si>
  <si>
    <t>2026-10-10</t>
  </si>
  <si>
    <t>2026-10-11</t>
  </si>
  <si>
    <t>2026-10-12</t>
  </si>
  <si>
    <t>Model Summary</t>
  </si>
  <si>
    <t>Confidence Analysis</t>
  </si>
  <si>
    <t>Prediction Direction</t>
  </si>
  <si>
    <t>Calibration</t>
  </si>
  <si>
    <t>값</t>
  </si>
  <si>
    <t>행 레이블</t>
  </si>
  <si>
    <t>accuracy</t>
  </si>
  <si>
    <t>Brier Score</t>
  </si>
  <si>
    <t>경기 수</t>
  </si>
  <si>
    <t>Avg Predicted Probability</t>
  </si>
  <si>
    <t>Actual Accuracy</t>
  </si>
  <si>
    <t>(비어 있음)</t>
  </si>
  <si>
    <t>총합계</t>
  </si>
  <si>
    <t>cancel</t>
    <phoneticPr fontId="2" type="noConversion"/>
  </si>
  <si>
    <t>draw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</si>
</sst>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/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09.389037962967" createdVersion="6" refreshedVersion="6" minRefreshableVersion="3" recordCount="671" xr:uid="{00000000-000A-0000-FFFF-FFFF05000000}">
  <cacheSource type="worksheet">
    <worksheetSource ref="A1:O1048576" sheet="Raw_Submission_Log"/>
  </cacheSource>
  <cacheFields count="15">
    <cacheField name="game_id" numFmtId="0">
      <sharedItems containsString="0" containsBlank="1" containsNumber="1" containsInteger="1" minValue="20260046" maxValue="20261062"/>
    </cacheField>
    <cacheField name="game_date" numFmtId="0">
      <sharedItems containsBlank="1"/>
    </cacheField>
    <cacheField name="home_team" numFmtId="0">
      <sharedItems containsBlank="1"/>
    </cacheField>
    <cacheField name="away_team" numFmtId="0">
      <sharedItems containsBlank="1"/>
    </cacheField>
    <cacheField name="home_team_code" numFmtId="0">
      <sharedItems containsString="0" containsBlank="1" containsNumber="1" containsInteger="1" minValue="1001" maxValue="12001"/>
    </cacheField>
    <cacheField name="away_team_code" numFmtId="0">
      <sharedItems containsString="0" containsBlank="1" containsNumber="1" containsInteger="1" minValue="1001" maxValue="12001"/>
    </cacheField>
    <cacheField name="home_win_percent" numFmtId="0">
      <sharedItems containsString="0" containsBlank="1" containsNumber="1" minValue="8.49" maxValue="100"/>
    </cacheField>
    <cacheField name="home_win_proba" numFmtId="0">
      <sharedItems containsString="0" containsBlank="1" containsNumber="1" minValue="8.4900000000000003E-2" maxValue="1"/>
    </cacheField>
    <cacheField name="model_name" numFmtId="0">
      <sharedItems containsBlank="1" count="10">
        <s v="full"/>
        <s v="sp"/>
        <s v="non"/>
        <s v="core_full"/>
        <s v="core_sp"/>
        <s v="elo_sp"/>
        <s v="elo_full"/>
        <s v="elo_sp_l2"/>
        <s v="elo_sp_l2_shrink_alpha_0.8"/>
        <m/>
      </sharedItems>
    </cacheField>
    <cacheField name="confidence" numFmtId="0">
      <sharedItems containsString="0" containsBlank="1" containsNumber="1" minValue="0.50000403104800217" maxValue="1"/>
    </cacheField>
    <cacheField name="confidence_bucket" numFmtId="0">
      <sharedItems containsBlank="1" count="6">
        <s v="70~100"/>
        <s v="65~70"/>
        <s v="60~65"/>
        <s v="50~55"/>
        <s v="55~60"/>
        <m/>
      </sharedItems>
    </cacheField>
    <cacheField name="prediction_side" numFmtId="0">
      <sharedItems containsBlank="1" count="3">
        <s v="HOME"/>
        <s v="AWAY"/>
        <m/>
      </sharedItems>
    </cacheField>
    <cacheField name="brier_component" numFmtId="0">
      <sharedItems containsBlank="1" containsMixedTypes="1" containsNumber="1" minValue="7.2080099999999956E-3" maxValue="1"/>
    </cacheField>
    <cacheField name="result" numFmtId="0">
      <sharedItems containsBlank="1" containsMixedTypes="1" containsNumber="1" containsInteger="1" minValue="0" maxValue="1"/>
    </cacheField>
    <cacheField name="correct" numFmtId="0">
      <sharedItems containsBlank="1" containsMixedTypes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1">
  <r>
    <n v="20260046"/>
    <s v="2026-04-08"/>
    <s v="두산"/>
    <s v="키움"/>
    <n v="6002"/>
    <n v="10001"/>
    <n v="88.72"/>
    <n v="0.88719999999999999"/>
    <x v="0"/>
    <n v="0.88719999999999999"/>
    <x v="0"/>
    <x v="0"/>
    <n v="1.2723840000000002E-2"/>
    <n v="1"/>
    <n v="1"/>
  </r>
  <r>
    <n v="20260047"/>
    <s v="2026-04-08"/>
    <s v="SSG"/>
    <s v="한화"/>
    <n v="9002"/>
    <n v="7002"/>
    <n v="90.58"/>
    <n v="0.90580000000000005"/>
    <x v="0"/>
    <n v="0.90580000000000005"/>
    <x v="0"/>
    <x v="0"/>
    <n v="0.82047364000000012"/>
    <n v="0"/>
    <n v="0"/>
  </r>
  <r>
    <n v="20260048"/>
    <s v="2026-04-08"/>
    <s v="KIA"/>
    <s v="삼성"/>
    <n v="2002"/>
    <n v="1001"/>
    <n v="34.54"/>
    <n v="0.34539999999999998"/>
    <x v="0"/>
    <n v="0.65460000000000007"/>
    <x v="1"/>
    <x v="1"/>
    <n v="0.11930115999999995"/>
    <n v="1"/>
    <n v="0"/>
  </r>
  <r>
    <n v="20260049"/>
    <s v="2026-04-08"/>
    <s v="롯데"/>
    <s v="KT"/>
    <n v="3001"/>
    <n v="12001"/>
    <n v="8.49"/>
    <n v="8.4900000000000003E-2"/>
    <x v="0"/>
    <n v="0.91510000000000002"/>
    <x v="0"/>
    <x v="1"/>
    <n v="7.2080099999999956E-3"/>
    <n v="1"/>
    <n v="0"/>
  </r>
  <r>
    <n v="20260050"/>
    <s v="2026-04-08"/>
    <s v="NC"/>
    <s v="LG"/>
    <n v="11001"/>
    <n v="5002"/>
    <n v="12.38"/>
    <n v="0.12379999999999999"/>
    <x v="0"/>
    <n v="0.87619999999999998"/>
    <x v="0"/>
    <x v="1"/>
    <n v="0.76772644000000001"/>
    <n v="0"/>
    <n v="1"/>
  </r>
  <r>
    <n v="20260051"/>
    <s v="2026-04-09"/>
    <s v="두산"/>
    <s v="키움"/>
    <n v="6002"/>
    <n v="10001"/>
    <n v="35.08"/>
    <n v="0.3508"/>
    <x v="1"/>
    <n v="0.6492"/>
    <x v="2"/>
    <x v="1"/>
    <s v=""/>
    <s v="cancel"/>
    <s v=""/>
  </r>
  <r>
    <n v="20260052"/>
    <s v="2026-04-09"/>
    <s v="SSG"/>
    <s v="한화"/>
    <n v="9002"/>
    <n v="7002"/>
    <n v="52.72"/>
    <n v="0.5272"/>
    <x v="1"/>
    <n v="0.5272"/>
    <x v="3"/>
    <x v="0"/>
    <s v=""/>
    <s v="cancel"/>
    <s v=""/>
  </r>
  <r>
    <n v="20260053"/>
    <s v="2026-04-09"/>
    <s v="KIA"/>
    <s v="삼성"/>
    <n v="2002"/>
    <n v="1001"/>
    <n v="62.24"/>
    <n v="0.62239999999999995"/>
    <x v="1"/>
    <n v="0.62239999999999995"/>
    <x v="2"/>
    <x v="0"/>
    <s v=""/>
    <s v="cancel"/>
    <s v=""/>
  </r>
  <r>
    <n v="20260054"/>
    <s v="2026-04-09"/>
    <s v="롯데"/>
    <s v="KT"/>
    <n v="3001"/>
    <n v="12001"/>
    <n v="38.11"/>
    <n v="0.38109999999999999"/>
    <x v="1"/>
    <n v="0.61890000000000001"/>
    <x v="2"/>
    <x v="1"/>
    <s v=""/>
    <s v="cancel"/>
    <s v=""/>
  </r>
  <r>
    <n v="20260055"/>
    <s v="2026-04-09"/>
    <s v="NC"/>
    <s v="LG"/>
    <n v="11001"/>
    <n v="5002"/>
    <n v="85.29"/>
    <n v="0.85289999999999999"/>
    <x v="1"/>
    <n v="0.85289999999999999"/>
    <x v="0"/>
    <x v="0"/>
    <s v=""/>
    <s v="cancel"/>
    <s v=""/>
  </r>
  <r>
    <n v="20260056"/>
    <s v="2026-04-10"/>
    <s v="LG"/>
    <s v="SSG"/>
    <n v="5002"/>
    <n v="9002"/>
    <n v="29.35"/>
    <n v="0.29349999999999998"/>
    <x v="1"/>
    <n v="0.70650000000000002"/>
    <x v="0"/>
    <x v="1"/>
    <n v="8.614224999999999E-2"/>
    <n v="1"/>
    <n v="0"/>
  </r>
  <r>
    <n v="20260057"/>
    <s v="2026-04-10"/>
    <s v="키움"/>
    <s v="롯데"/>
    <n v="10001"/>
    <n v="3001"/>
    <n v="73.650000000000006"/>
    <n v="0.73650000000000004"/>
    <x v="1"/>
    <n v="0.73650000000000004"/>
    <x v="0"/>
    <x v="0"/>
    <n v="0.54243225000000006"/>
    <n v="0"/>
    <n v="0"/>
  </r>
  <r>
    <n v="20260058"/>
    <s v="2026-04-10"/>
    <s v="KT"/>
    <s v="두산"/>
    <n v="12001"/>
    <n v="6002"/>
    <n v="57.85"/>
    <n v="0.57850000000000001"/>
    <x v="1"/>
    <n v="0.57850000000000001"/>
    <x v="4"/>
    <x v="0"/>
    <n v="0.33466224999999999"/>
    <n v="0"/>
    <n v="0"/>
  </r>
  <r>
    <n v="20260059"/>
    <s v="2026-04-10"/>
    <s v="한화"/>
    <s v="KIA"/>
    <n v="7002"/>
    <n v="2002"/>
    <n v="33.090000000000003"/>
    <n v="0.33090000000000003"/>
    <x v="1"/>
    <n v="0.66910000000000003"/>
    <x v="1"/>
    <x v="1"/>
    <n v="0.44769481000000005"/>
    <n v="0"/>
    <n v="1"/>
  </r>
  <r>
    <n v="20260060"/>
    <s v="2026-04-10"/>
    <s v="삼성"/>
    <s v="NC"/>
    <n v="1001"/>
    <n v="11001"/>
    <n v="30.46"/>
    <n v="0.30459999999999998"/>
    <x v="1"/>
    <n v="0.69540000000000002"/>
    <x v="1"/>
    <x v="1"/>
    <n v="9.2781159999999988E-2"/>
    <n v="1"/>
    <n v="0"/>
  </r>
  <r>
    <n v="20260061"/>
    <s v="2026-04-11"/>
    <s v="LG"/>
    <s v="SSG"/>
    <n v="5002"/>
    <n v="9002"/>
    <n v="64.56"/>
    <n v="0.64559999999999995"/>
    <x v="1"/>
    <n v="0.64559999999999995"/>
    <x v="2"/>
    <x v="0"/>
    <n v="0.12559936000000002"/>
    <n v="1"/>
    <n v="1"/>
  </r>
  <r>
    <n v="20260062"/>
    <s v="2026-04-11"/>
    <s v="키움"/>
    <s v="롯데"/>
    <n v="10001"/>
    <n v="3001"/>
    <n v="51.07"/>
    <n v="0.51070000000000004"/>
    <x v="1"/>
    <n v="0.51070000000000004"/>
    <x v="3"/>
    <x v="0"/>
    <n v="0.26081449000000007"/>
    <n v="0"/>
    <n v="0"/>
  </r>
  <r>
    <n v="20260063"/>
    <s v="2026-04-11"/>
    <s v="KT"/>
    <s v="두산"/>
    <n v="12001"/>
    <n v="6002"/>
    <n v="24.04"/>
    <n v="0.2404"/>
    <x v="1"/>
    <n v="0.75960000000000005"/>
    <x v="0"/>
    <x v="1"/>
    <n v="5.7792159999999974E-2"/>
    <n v="1"/>
    <n v="0"/>
  </r>
  <r>
    <n v="20260064"/>
    <s v="2026-04-11"/>
    <s v="한화"/>
    <s v="KIA"/>
    <n v="7002"/>
    <n v="2002"/>
    <n v="89.63"/>
    <n v="0.89629999999999999"/>
    <x v="1"/>
    <n v="0.89629999999999999"/>
    <x v="0"/>
    <x v="0"/>
    <n v="0.80335369000000001"/>
    <n v="0"/>
    <n v="0"/>
  </r>
  <r>
    <n v="20260065"/>
    <s v="2026-04-11"/>
    <s v="삼성"/>
    <s v="NC"/>
    <n v="1001"/>
    <n v="11001"/>
    <n v="37.89"/>
    <n v="0.37890000000000001"/>
    <x v="1"/>
    <n v="0.62109999999999999"/>
    <x v="2"/>
    <x v="1"/>
    <n v="0.14356521"/>
    <n v="1"/>
    <n v="0"/>
  </r>
  <r>
    <n v="20260066"/>
    <s v="2026-04-12"/>
    <s v="LG"/>
    <s v="SSG"/>
    <n v="5002"/>
    <n v="9002"/>
    <n v="38.08"/>
    <n v="0.38080000000000003"/>
    <x v="1"/>
    <n v="0.61919999999999997"/>
    <x v="2"/>
    <x v="1"/>
    <n v="0.14500864000000002"/>
    <n v="1"/>
    <n v="0"/>
  </r>
  <r>
    <n v="20260067"/>
    <s v="2026-04-12"/>
    <s v="키움"/>
    <s v="롯데"/>
    <n v="10001"/>
    <n v="3001"/>
    <n v="36.65"/>
    <n v="0.36649999999999999"/>
    <x v="1"/>
    <n v="0.63349999999999995"/>
    <x v="2"/>
    <x v="1"/>
    <n v="0.13432225000000003"/>
    <n v="1"/>
    <n v="0"/>
  </r>
  <r>
    <n v="20260068"/>
    <s v="2026-04-12"/>
    <s v="KT"/>
    <s v="두산"/>
    <n v="12001"/>
    <n v="6002"/>
    <n v="73.31"/>
    <n v="0.73309999999999997"/>
    <x v="1"/>
    <n v="0.73309999999999997"/>
    <x v="0"/>
    <x v="0"/>
    <n v="7.1235610000000019E-2"/>
    <n v="1"/>
    <n v="1"/>
  </r>
  <r>
    <n v="20260069"/>
    <s v="2026-04-12"/>
    <s v="한화"/>
    <s v="KIA"/>
    <n v="7002"/>
    <n v="2002"/>
    <n v="33.01"/>
    <n v="0.3301"/>
    <x v="1"/>
    <n v="0.66989999999999994"/>
    <x v="1"/>
    <x v="1"/>
    <n v="0.44876600999999994"/>
    <n v="0"/>
    <n v="1"/>
  </r>
  <r>
    <n v="20260070"/>
    <s v="2026-04-12"/>
    <s v="삼성"/>
    <s v="NC"/>
    <n v="1001"/>
    <n v="11001"/>
    <n v="60.31"/>
    <n v="0.60309999999999997"/>
    <x v="1"/>
    <n v="0.60309999999999997"/>
    <x v="2"/>
    <x v="0"/>
    <n v="0.15752961000000001"/>
    <n v="1"/>
    <n v="1"/>
  </r>
  <r>
    <n v="20260071"/>
    <s v="2026-04-14"/>
    <s v="LG"/>
    <s v="롯데"/>
    <n v="5002"/>
    <n v="3001"/>
    <n v="57.69"/>
    <n v="0.57689999999999997"/>
    <x v="2"/>
    <n v="0.57689999999999997"/>
    <x v="4"/>
    <x v="0"/>
    <n v="0.17901361000000002"/>
    <n v="1"/>
    <n v="1"/>
  </r>
  <r>
    <n v="20260072"/>
    <s v="2026-04-14"/>
    <s v="SSG"/>
    <s v="두산"/>
    <n v="9002"/>
    <n v="6002"/>
    <n v="55.62"/>
    <n v="0.55620000000000003"/>
    <x v="2"/>
    <n v="0.55620000000000003"/>
    <x v="4"/>
    <x v="0"/>
    <n v="0.30935844000000001"/>
    <n v="0"/>
    <n v="0"/>
  </r>
  <r>
    <n v="20260073"/>
    <s v="2026-04-14"/>
    <s v="한화"/>
    <s v="삼성"/>
    <n v="7002"/>
    <n v="1001"/>
    <n v="49.8"/>
    <n v="0.498"/>
    <x v="2"/>
    <n v="0.502"/>
    <x v="3"/>
    <x v="1"/>
    <n v="0.25200400000000001"/>
    <n v="0"/>
    <n v="1"/>
  </r>
  <r>
    <n v="20260074"/>
    <s v="2026-04-14"/>
    <s v="KIA"/>
    <s v="키움"/>
    <n v="2002"/>
    <n v="10001"/>
    <n v="49.73"/>
    <n v="0.49730000000000002"/>
    <x v="2"/>
    <n v="0.50269999999999992"/>
    <x v="3"/>
    <x v="1"/>
    <n v="0.24730729000000007"/>
    <n v="1"/>
    <n v="0"/>
  </r>
  <r>
    <n v="20260075"/>
    <s v="2026-04-14"/>
    <s v="NC"/>
    <s v="KT"/>
    <n v="11001"/>
    <n v="12001"/>
    <n v="50.79"/>
    <n v="0.50790000000000002"/>
    <x v="2"/>
    <n v="0.50790000000000002"/>
    <x v="3"/>
    <x v="0"/>
    <n v="0.24216240999999999"/>
    <n v="1"/>
    <n v="1"/>
  </r>
  <r>
    <n v="20260076"/>
    <s v="2026-04-15"/>
    <s v="LG"/>
    <s v="롯데"/>
    <n v="5002"/>
    <n v="3001"/>
    <n v="57.69"/>
    <n v="0.57689999999999997"/>
    <x v="2"/>
    <n v="0.57689999999999997"/>
    <x v="4"/>
    <x v="0"/>
    <n v="0.33281360999999998"/>
    <n v="0"/>
    <n v="0"/>
  </r>
  <r>
    <n v="20260077"/>
    <s v="2026-04-15"/>
    <s v="SSG"/>
    <s v="두산"/>
    <n v="9002"/>
    <n v="6002"/>
    <n v="55.62"/>
    <n v="0.55620000000000003"/>
    <x v="2"/>
    <n v="0.55620000000000003"/>
    <x v="4"/>
    <x v="0"/>
    <n v="0.19695843999999998"/>
    <n v="1"/>
    <n v="1"/>
  </r>
  <r>
    <n v="20260078"/>
    <s v="2026-04-15"/>
    <s v="한화"/>
    <s v="삼성"/>
    <n v="7002"/>
    <n v="1001"/>
    <n v="49.8"/>
    <n v="0.498"/>
    <x v="2"/>
    <n v="0.502"/>
    <x v="3"/>
    <x v="1"/>
    <n v="0.25200400000000001"/>
    <n v="0"/>
    <n v="1"/>
  </r>
  <r>
    <n v="20260079"/>
    <s v="2026-04-15"/>
    <s v="KIA"/>
    <s v="키움"/>
    <n v="2002"/>
    <n v="10001"/>
    <n v="49.73"/>
    <n v="0.49730000000000002"/>
    <x v="2"/>
    <n v="0.50269999999999992"/>
    <x v="3"/>
    <x v="1"/>
    <n v="0.24730729000000007"/>
    <n v="1"/>
    <n v="0"/>
  </r>
  <r>
    <n v="20260080"/>
    <s v="2026-04-15"/>
    <s v="NC"/>
    <s v="KT"/>
    <n v="11001"/>
    <n v="12001"/>
    <n v="50.79"/>
    <n v="0.50790000000000002"/>
    <x v="2"/>
    <n v="0.50790000000000002"/>
    <x v="3"/>
    <x v="0"/>
    <n v="0.25796241000000003"/>
    <n v="0"/>
    <n v="0"/>
  </r>
  <r>
    <n v="20260081"/>
    <s v="2026-04-16"/>
    <s v="LG"/>
    <s v="롯데"/>
    <n v="5002"/>
    <n v="3001"/>
    <n v="57.69"/>
    <n v="0.57689999999999997"/>
    <x v="2"/>
    <n v="0.57689999999999997"/>
    <x v="4"/>
    <x v="0"/>
    <n v="0.17901361000000002"/>
    <n v="1"/>
    <n v="1"/>
  </r>
  <r>
    <n v="20260082"/>
    <s v="2026-04-16"/>
    <s v="SSG"/>
    <s v="두산"/>
    <n v="9002"/>
    <n v="6002"/>
    <n v="55.62"/>
    <n v="0.55620000000000003"/>
    <x v="2"/>
    <n v="0.55620000000000003"/>
    <x v="4"/>
    <x v="0"/>
    <n v="0.19695843999999998"/>
    <n v="1"/>
    <n v="1"/>
  </r>
  <r>
    <n v="20260083"/>
    <s v="2026-04-16"/>
    <s v="한화"/>
    <s v="삼성"/>
    <n v="7002"/>
    <n v="1001"/>
    <n v="49.8"/>
    <n v="0.498"/>
    <x v="2"/>
    <n v="0.502"/>
    <x v="3"/>
    <x v="1"/>
    <n v="0.25200400000000001"/>
    <n v="0"/>
    <n v="1"/>
  </r>
  <r>
    <n v="20260084"/>
    <s v="2026-04-16"/>
    <s v="KIA"/>
    <s v="키움"/>
    <n v="2002"/>
    <n v="10001"/>
    <n v="49.73"/>
    <n v="0.49730000000000002"/>
    <x v="2"/>
    <n v="0.50269999999999992"/>
    <x v="3"/>
    <x v="1"/>
    <n v="0.24730729000000007"/>
    <n v="1"/>
    <n v="0"/>
  </r>
  <r>
    <n v="20260085"/>
    <s v="2026-04-16"/>
    <s v="NC"/>
    <s v="KT"/>
    <n v="11001"/>
    <n v="12001"/>
    <n v="50.79"/>
    <n v="0.50790000000000002"/>
    <x v="2"/>
    <n v="0.50790000000000002"/>
    <x v="3"/>
    <x v="0"/>
    <n v="0.25796241000000003"/>
    <n v="0"/>
    <n v="0"/>
  </r>
  <r>
    <n v="20260086"/>
    <s v="2026-04-17"/>
    <s v="두산"/>
    <s v="KIA"/>
    <n v="6002"/>
    <n v="2002"/>
    <n v="53.6"/>
    <n v="0.53600000000000003"/>
    <x v="2"/>
    <n v="0.53600000000000003"/>
    <x v="3"/>
    <x v="0"/>
    <n v="0.28729600000000005"/>
    <n v="0"/>
    <n v="0"/>
  </r>
  <r>
    <n v="20260087"/>
    <s v="2026-04-17"/>
    <s v="KT"/>
    <s v="키움"/>
    <n v="12001"/>
    <n v="10001"/>
    <n v="55.92"/>
    <n v="0.55920000000000003"/>
    <x v="2"/>
    <n v="0.55920000000000003"/>
    <x v="4"/>
    <x v="0"/>
    <n v="0.19430463999999997"/>
    <n v="1"/>
    <n v="1"/>
  </r>
  <r>
    <n v="20260088"/>
    <s v="2026-04-17"/>
    <s v="삼성"/>
    <s v="LG"/>
    <n v="1001"/>
    <n v="5002"/>
    <n v="50.52"/>
    <n v="0.50519999999999998"/>
    <x v="2"/>
    <n v="0.50519999999999998"/>
    <x v="3"/>
    <x v="0"/>
    <s v=""/>
    <s v="cancel"/>
    <s v=""/>
  </r>
  <r>
    <n v="20260089"/>
    <s v="2026-04-17"/>
    <s v="롯데"/>
    <s v="한화"/>
    <n v="3001"/>
    <n v="7002"/>
    <n v="42.85"/>
    <n v="0.42849999999999999"/>
    <x v="2"/>
    <n v="0.57150000000000001"/>
    <x v="4"/>
    <x v="1"/>
    <s v=""/>
    <s v="cancel"/>
    <s v=""/>
  </r>
  <r>
    <n v="20260090"/>
    <s v="2026-04-17"/>
    <s v="NC"/>
    <s v="SSG"/>
    <n v="11001"/>
    <n v="9002"/>
    <n v="49.71"/>
    <n v="0.49709999999999999"/>
    <x v="2"/>
    <n v="0.50290000000000001"/>
    <x v="3"/>
    <x v="1"/>
    <s v=""/>
    <s v="cancel"/>
    <s v=""/>
  </r>
  <r>
    <n v="20260091"/>
    <s v="2026-04-18"/>
    <s v="두산"/>
    <s v="KIA"/>
    <n v="6002"/>
    <n v="2002"/>
    <n v="31.55"/>
    <n v="0.3155"/>
    <x v="1"/>
    <n v="0.6845"/>
    <x v="1"/>
    <x v="1"/>
    <n v="9.9540249999999997E-2"/>
    <n v="1"/>
    <n v="0"/>
  </r>
  <r>
    <n v="20260092"/>
    <s v="2026-04-18"/>
    <s v="KT"/>
    <s v="키움"/>
    <n v="12001"/>
    <n v="10001"/>
    <n v="56.35"/>
    <n v="0.5635"/>
    <x v="1"/>
    <n v="0.5635"/>
    <x v="4"/>
    <x v="0"/>
    <n v="0.19053224999999999"/>
    <n v="1"/>
    <n v="1"/>
  </r>
  <r>
    <n v="20260093"/>
    <s v="2026-04-18"/>
    <s v="삼성"/>
    <s v="LG"/>
    <n v="1001"/>
    <n v="5002"/>
    <n v="44.98"/>
    <n v="0.44979999999999998"/>
    <x v="1"/>
    <n v="0.55020000000000002"/>
    <x v="4"/>
    <x v="1"/>
    <n v="0.20232003999999998"/>
    <n v="1"/>
    <n v="0"/>
  </r>
  <r>
    <n v="20260094"/>
    <s v="2026-04-18"/>
    <s v="롯데"/>
    <s v="한화"/>
    <n v="3001"/>
    <n v="7002"/>
    <n v="42.59"/>
    <n v="0.4259"/>
    <x v="1"/>
    <n v="0.57410000000000005"/>
    <x v="4"/>
    <x v="1"/>
    <n v="0.32959081000000007"/>
    <n v="0"/>
    <n v="1"/>
  </r>
  <r>
    <n v="20260095"/>
    <s v="2026-04-18"/>
    <s v="NC"/>
    <s v="SSG"/>
    <n v="11001"/>
    <n v="9002"/>
    <n v="58.07"/>
    <n v="0.58069999999999999"/>
    <x v="1"/>
    <n v="0.58069999999999999"/>
    <x v="4"/>
    <x v="0"/>
    <n v="0.33721248999999998"/>
    <n v="0"/>
    <n v="0"/>
  </r>
  <r>
    <n v="20260096"/>
    <s v="2026-04-19"/>
    <s v="두산"/>
    <s v="KIA"/>
    <n v="6002"/>
    <n v="2002"/>
    <n v="56.92"/>
    <n v="0.56920000000000004"/>
    <x v="1"/>
    <n v="0.56920000000000004"/>
    <x v="4"/>
    <x v="0"/>
    <n v="0.18558863999999997"/>
    <n v="1"/>
    <n v="1"/>
  </r>
  <r>
    <n v="20260097"/>
    <s v="2026-04-19"/>
    <s v="KT"/>
    <s v="키움"/>
    <n v="12001"/>
    <n v="10001"/>
    <n v="63.18"/>
    <n v="0.63180000000000003"/>
    <x v="1"/>
    <n v="0.63180000000000003"/>
    <x v="2"/>
    <x v="0"/>
    <n v="0.39917124000000004"/>
    <n v="0"/>
    <n v="0"/>
  </r>
  <r>
    <n v="20260098"/>
    <s v="2026-04-19"/>
    <s v="삼성"/>
    <s v="LG"/>
    <n v="1001"/>
    <n v="5002"/>
    <n v="60.41"/>
    <n v="0.60409999999999997"/>
    <x v="1"/>
    <n v="0.60409999999999997"/>
    <x v="2"/>
    <x v="0"/>
    <n v="0.36493680999999994"/>
    <n v="0"/>
    <n v="0"/>
  </r>
  <r>
    <n v="20260099"/>
    <s v="2026-04-19"/>
    <s v="롯데"/>
    <s v="한화"/>
    <n v="3001"/>
    <n v="7002"/>
    <n v="72.739999999999995"/>
    <n v="0.72740000000000005"/>
    <x v="1"/>
    <n v="0.72740000000000005"/>
    <x v="0"/>
    <x v="0"/>
    <n v="7.4310759999999976E-2"/>
    <n v="1"/>
    <n v="1"/>
  </r>
  <r>
    <n v="20260100"/>
    <s v="2026-04-19"/>
    <s v="NC"/>
    <s v="SSG"/>
    <n v="11001"/>
    <n v="9002"/>
    <n v="74.58"/>
    <n v="0.74580000000000002"/>
    <x v="1"/>
    <n v="0.74580000000000002"/>
    <x v="0"/>
    <x v="0"/>
    <n v="0.55621764000000007"/>
    <n v="0"/>
    <n v="0"/>
  </r>
  <r>
    <n v="20260101"/>
    <s v="2026-04-21"/>
    <s v="LG"/>
    <s v="한화"/>
    <n v="5002"/>
    <n v="7002"/>
    <n v="60.2"/>
    <n v="0.60199999999999998"/>
    <x v="0"/>
    <n v="0.60199999999999998"/>
    <x v="2"/>
    <x v="0"/>
    <n v="0.15840400000000002"/>
    <n v="1"/>
    <n v="1"/>
  </r>
  <r>
    <n v="20260102"/>
    <s v="2026-04-21"/>
    <s v="키움"/>
    <s v="NC"/>
    <n v="10001"/>
    <n v="11001"/>
    <n v="37.090000000000003"/>
    <n v="0.37090000000000001"/>
    <x v="0"/>
    <n v="0.62909999999999999"/>
    <x v="2"/>
    <x v="1"/>
    <n v="0.13756681000000001"/>
    <n v="1"/>
    <n v="0"/>
  </r>
  <r>
    <n v="20260103"/>
    <s v="2026-04-21"/>
    <s v="KT"/>
    <s v="KIA"/>
    <n v="12001"/>
    <n v="2002"/>
    <n v="84.6"/>
    <n v="0.84599999999999997"/>
    <x v="0"/>
    <n v="0.84599999999999997"/>
    <x v="0"/>
    <x v="0"/>
    <n v="2.3716000000000008E-2"/>
    <n v="1"/>
    <n v="1"/>
  </r>
  <r>
    <n v="20260104"/>
    <s v="2026-04-21"/>
    <s v="삼성"/>
    <s v="SSG"/>
    <n v="1001"/>
    <n v="9002"/>
    <n v="53.4"/>
    <n v="0.53400000000000003"/>
    <x v="0"/>
    <n v="0.53400000000000003"/>
    <x v="3"/>
    <x v="0"/>
    <n v="0.28515600000000002"/>
    <n v="0"/>
    <n v="0"/>
  </r>
  <r>
    <n v="20260105"/>
    <s v="2026-04-21"/>
    <s v="롯데"/>
    <s v="두산"/>
    <n v="3001"/>
    <n v="6002"/>
    <n v="60.27"/>
    <n v="0.60270000000000001"/>
    <x v="0"/>
    <n v="0.60270000000000001"/>
    <x v="2"/>
    <x v="0"/>
    <n v="0.36324729"/>
    <n v="0"/>
    <n v="0"/>
  </r>
  <r>
    <n v="20260106"/>
    <s v="2026-04-22"/>
    <s v="LG"/>
    <s v="한화"/>
    <n v="5002"/>
    <n v="7002"/>
    <n v="36.57"/>
    <n v="0.36570000000000003"/>
    <x v="0"/>
    <n v="0.63429999999999997"/>
    <x v="2"/>
    <x v="1"/>
    <n v="0.13373649000000001"/>
    <n v="1"/>
    <n v="0"/>
  </r>
  <r>
    <n v="20260107"/>
    <s v="2026-04-22"/>
    <s v="키움"/>
    <s v="NC"/>
    <n v="10001"/>
    <n v="11001"/>
    <n v="64.45"/>
    <n v="0.64449999999999996"/>
    <x v="0"/>
    <n v="0.64449999999999996"/>
    <x v="2"/>
    <x v="0"/>
    <n v="0.12638025000000003"/>
    <n v="1"/>
    <n v="1"/>
  </r>
  <r>
    <n v="20260108"/>
    <s v="2026-04-22"/>
    <s v="KT"/>
    <s v="KIA"/>
    <n v="12001"/>
    <n v="2002"/>
    <n v="34.28"/>
    <n v="0.34279999999999999"/>
    <x v="0"/>
    <n v="0.65720000000000001"/>
    <x v="1"/>
    <x v="1"/>
    <n v="0.11751183999999999"/>
    <n v="1"/>
    <n v="0"/>
  </r>
  <r>
    <n v="20260109"/>
    <s v="2026-04-22"/>
    <s v="삼성"/>
    <s v="SSG"/>
    <n v="1001"/>
    <n v="9002"/>
    <n v="53.52"/>
    <n v="0.53520000000000001"/>
    <x v="0"/>
    <n v="0.53520000000000001"/>
    <x v="3"/>
    <x v="0"/>
    <n v="0.28643904000000003"/>
    <n v="0"/>
    <n v="0"/>
  </r>
  <r>
    <n v="20260110"/>
    <s v="2026-04-22"/>
    <s v="롯데"/>
    <s v="두산"/>
    <n v="3001"/>
    <n v="6002"/>
    <n v="49.38"/>
    <n v="0.49380000000000002"/>
    <x v="0"/>
    <n v="0.50619999999999998"/>
    <x v="3"/>
    <x v="1"/>
    <n v="0.25623843999999996"/>
    <n v="0"/>
    <n v="1"/>
  </r>
  <r>
    <n v="20260111"/>
    <s v="2026-04-23"/>
    <s v="LG"/>
    <s v="한화"/>
    <n v="5002"/>
    <n v="7002"/>
    <n v="27.98"/>
    <n v="0.27979999999999999"/>
    <x v="3"/>
    <n v="0.72019999999999995"/>
    <x v="0"/>
    <x v="1"/>
    <n v="0.51868803999999991"/>
    <n v="0"/>
    <n v="1"/>
  </r>
  <r>
    <n v="20260112"/>
    <s v="2026-04-23"/>
    <s v="키움"/>
    <s v="NC"/>
    <n v="10001"/>
    <n v="11001"/>
    <n v="31.51"/>
    <n v="0.31509999999999999"/>
    <x v="3"/>
    <n v="0.68490000000000006"/>
    <x v="1"/>
    <x v="1"/>
    <n v="0.46908801000000011"/>
    <n v="0"/>
    <n v="1"/>
  </r>
  <r>
    <n v="20260113"/>
    <s v="2026-04-23"/>
    <s v="KT"/>
    <s v="KIA"/>
    <n v="12001"/>
    <n v="2002"/>
    <n v="66.39"/>
    <n v="0.66390000000000005"/>
    <x v="3"/>
    <n v="0.66390000000000005"/>
    <x v="1"/>
    <x v="0"/>
    <n v="0.11296320999999997"/>
    <n v="1"/>
    <n v="1"/>
  </r>
  <r>
    <n v="20260114"/>
    <s v="2026-04-23"/>
    <s v="삼성"/>
    <s v="SSG"/>
    <n v="1001"/>
    <n v="9002"/>
    <n v="43.72"/>
    <n v="0.43719999999999998"/>
    <x v="3"/>
    <n v="0.56279999999999997"/>
    <x v="4"/>
    <x v="1"/>
    <n v="0.31674383999999994"/>
    <n v="0"/>
    <n v="1"/>
  </r>
  <r>
    <n v="20260115"/>
    <s v="2026-04-23"/>
    <s v="롯데"/>
    <s v="두산"/>
    <n v="3001"/>
    <n v="6002"/>
    <n v="38.880000000000003"/>
    <n v="0.38879999999999998"/>
    <x v="3"/>
    <n v="0.61119999999999997"/>
    <x v="2"/>
    <x v="1"/>
    <n v="0.15116544000000004"/>
    <n v="1"/>
    <n v="0"/>
  </r>
  <r>
    <n v="20260116"/>
    <s v="2026-04-24"/>
    <s v="두산"/>
    <s v="LG"/>
    <n v="6002"/>
    <n v="5002"/>
    <n v="53.33"/>
    <n v="0.5333"/>
    <x v="3"/>
    <n v="0.5333"/>
    <x v="3"/>
    <x v="0"/>
    <n v="0.28440888999999997"/>
    <n v="0"/>
    <n v="0"/>
  </r>
  <r>
    <n v="20260117"/>
    <s v="2026-04-24"/>
    <s v="키움"/>
    <s v="삼성"/>
    <n v="10001"/>
    <n v="1001"/>
    <n v="60.71"/>
    <n v="0.60709999999999997"/>
    <x v="3"/>
    <n v="0.60709999999999997"/>
    <x v="2"/>
    <x v="0"/>
    <n v="0.15437041000000001"/>
    <n v="1"/>
    <n v="1"/>
  </r>
  <r>
    <n v="20260118"/>
    <s v="2026-04-24"/>
    <s v="SSG"/>
    <s v="KT"/>
    <n v="9002"/>
    <n v="12001"/>
    <n v="19.149999999999999"/>
    <n v="0.1915"/>
    <x v="3"/>
    <n v="0.8085"/>
    <x v="0"/>
    <x v="1"/>
    <n v="3.6672250000000003E-2"/>
    <n v="1"/>
    <n v="0"/>
  </r>
  <r>
    <n v="20260119"/>
    <s v="2026-04-24"/>
    <s v="한화"/>
    <s v="NC"/>
    <n v="7002"/>
    <n v="11001"/>
    <n v="60.9"/>
    <n v="0.60899999999999999"/>
    <x v="3"/>
    <n v="0.60899999999999999"/>
    <x v="2"/>
    <x v="0"/>
    <n v="0.37088099999999996"/>
    <n v="0"/>
    <n v="0"/>
  </r>
  <r>
    <n v="20260120"/>
    <s v="2026-04-24"/>
    <s v="KIA"/>
    <s v="롯데"/>
    <n v="2002"/>
    <n v="3001"/>
    <n v="66.59"/>
    <n v="0.66590000000000005"/>
    <x v="3"/>
    <n v="0.66590000000000005"/>
    <x v="1"/>
    <x v="0"/>
    <n v="0.11162280999999998"/>
    <n v="1"/>
    <n v="1"/>
  </r>
  <r>
    <n v="20260121"/>
    <s v="2026-04-25"/>
    <s v="두산"/>
    <s v="LG"/>
    <n v="6002"/>
    <n v="5002"/>
    <n v="56.75"/>
    <n v="0.5675"/>
    <x v="4"/>
    <n v="0.5675"/>
    <x v="4"/>
    <x v="0"/>
    <n v="0.32205624999999999"/>
    <n v="0"/>
    <n v="0"/>
  </r>
  <r>
    <n v="20260122"/>
    <s v="2026-04-25"/>
    <s v="키움"/>
    <s v="삼성"/>
    <n v="10001"/>
    <n v="1001"/>
    <n v="46.12"/>
    <n v="0.4612"/>
    <x v="4"/>
    <n v="0.53879999999999995"/>
    <x v="3"/>
    <x v="1"/>
    <n v="0.21270544000000005"/>
    <n v="1"/>
    <n v="0"/>
  </r>
  <r>
    <n v="20260123"/>
    <s v="2026-04-25"/>
    <s v="SSG"/>
    <s v="KT"/>
    <n v="9002"/>
    <n v="12001"/>
    <n v="24.68"/>
    <n v="0.24679999999999999"/>
    <x v="4"/>
    <n v="0.75319999999999998"/>
    <x v="0"/>
    <x v="1"/>
    <n v="6.0910240000000011E-2"/>
    <n v="1"/>
    <n v="0"/>
  </r>
  <r>
    <n v="20260124"/>
    <s v="2026-04-25"/>
    <s v="한화"/>
    <s v="NC"/>
    <n v="7002"/>
    <n v="11001"/>
    <n v="35.75"/>
    <n v="0.35749999999999998"/>
    <x v="4"/>
    <n v="0.64250000000000007"/>
    <x v="2"/>
    <x v="1"/>
    <n v="0.12780624999999995"/>
    <n v="1"/>
    <n v="0"/>
  </r>
  <r>
    <n v="20260125"/>
    <s v="2026-04-25"/>
    <s v="KIA"/>
    <s v="롯데"/>
    <n v="2002"/>
    <n v="3001"/>
    <n v="45.31"/>
    <n v="0.4531"/>
    <x v="4"/>
    <n v="0.54689999999999994"/>
    <x v="3"/>
    <x v="1"/>
    <n v="0.20529961000000005"/>
    <n v="1"/>
    <n v="0"/>
  </r>
  <r>
    <n v="20260126"/>
    <s v="2026-04-26"/>
    <s v="두산"/>
    <s v="LG"/>
    <n v="6002"/>
    <n v="5002"/>
    <n v="61.63"/>
    <n v="0.61629999999999996"/>
    <x v="3"/>
    <n v="0.61629999999999996"/>
    <x v="2"/>
    <x v="0"/>
    <n v="0.14722569000000002"/>
    <n v="1"/>
    <n v="1"/>
  </r>
  <r>
    <n v="20260127"/>
    <s v="2026-04-26"/>
    <s v="키움"/>
    <s v="삼성"/>
    <n v="10001"/>
    <n v="1001"/>
    <n v="14.46"/>
    <n v="0.14460000000000001"/>
    <x v="3"/>
    <n v="0.85539999999999994"/>
    <x v="0"/>
    <x v="1"/>
    <n v="2.0909160000000017E-2"/>
    <n v="1"/>
    <n v="0"/>
  </r>
  <r>
    <n v="20260128"/>
    <s v="2026-04-26"/>
    <s v="SSG"/>
    <s v="KT"/>
    <n v="9002"/>
    <n v="12001"/>
    <n v="35.130000000000003"/>
    <n v="0.3513"/>
    <x v="3"/>
    <n v="0.64870000000000005"/>
    <x v="2"/>
    <x v="1"/>
    <n v="0.42081169000000007"/>
    <n v="0"/>
    <n v="1"/>
  </r>
  <r>
    <n v="20260129"/>
    <s v="2026-04-26"/>
    <s v="한화"/>
    <s v="NC"/>
    <n v="7002"/>
    <n v="11001"/>
    <n v="36.659999999999997"/>
    <n v="0.36659999999999998"/>
    <x v="3"/>
    <n v="0.63339999999999996"/>
    <x v="2"/>
    <x v="1"/>
    <n v="0.40119555999999995"/>
    <n v="0"/>
    <n v="1"/>
  </r>
  <r>
    <n v="20260130"/>
    <s v="2026-04-26"/>
    <s v="KIA"/>
    <s v="롯데"/>
    <n v="2002"/>
    <n v="3001"/>
    <n v="28.49"/>
    <n v="0.28489999999999999"/>
    <x v="3"/>
    <n v="0.71510000000000007"/>
    <x v="0"/>
    <x v="1"/>
    <s v=""/>
    <s v="draw"/>
    <s v=""/>
  </r>
  <r>
    <n v="20260131"/>
    <s v="2026-04-28"/>
    <s v="두산"/>
    <s v="삼성"/>
    <n v="6002"/>
    <n v="1001"/>
    <n v="48.05"/>
    <n v="0.48053719631581809"/>
    <x v="3"/>
    <n v="0.51946280368418196"/>
    <x v="3"/>
    <x v="1"/>
    <n v="0.26984160441143096"/>
    <n v="0"/>
    <n v="1"/>
  </r>
  <r>
    <n v="20260132"/>
    <s v="2026-04-28"/>
    <s v="KT"/>
    <s v="LG"/>
    <n v="12001"/>
    <n v="5002"/>
    <n v="31.9"/>
    <n v="0.31895704786720658"/>
    <x v="3"/>
    <n v="0.68104295213279342"/>
    <x v="1"/>
    <x v="1"/>
    <n v="0.10173359838416351"/>
    <n v="1"/>
    <n v="0"/>
  </r>
  <r>
    <n v="20260133"/>
    <s v="2026-04-28"/>
    <s v="한화"/>
    <s v="SSG"/>
    <n v="7002"/>
    <n v="9002"/>
    <n v="51.69"/>
    <n v="0.51686137532658116"/>
    <x v="3"/>
    <n v="0.51686137532658116"/>
    <x v="3"/>
    <x v="0"/>
    <n v="0.23342293065132269"/>
    <n v="1"/>
    <n v="1"/>
  </r>
  <r>
    <n v="20260134"/>
    <s v="2026-04-28"/>
    <s v="롯데"/>
    <s v="키움"/>
    <n v="3001"/>
    <n v="10001"/>
    <n v="41.82"/>
    <n v="0.41823284857644288"/>
    <x v="3"/>
    <n v="0.58176715142355717"/>
    <x v="4"/>
    <x v="1"/>
    <n v="0.17491871562836575"/>
    <n v="1"/>
    <n v="0"/>
  </r>
  <r>
    <n v="20260135"/>
    <s v="2026-04-28"/>
    <s v="NC"/>
    <s v="KIA"/>
    <n v="11001"/>
    <n v="2002"/>
    <n v="33.33"/>
    <n v="0.33327727751723479"/>
    <x v="3"/>
    <n v="0.66672272248276521"/>
    <x v="1"/>
    <x v="1"/>
    <n v="0.11107374370929994"/>
    <n v="1"/>
    <n v="0"/>
  </r>
  <r>
    <n v="20260136"/>
    <s v="2026-04-29"/>
    <s v="두산"/>
    <s v="삼성"/>
    <n v="6002"/>
    <n v="1001"/>
    <n v="55.18"/>
    <n v="0.55177834190215891"/>
    <x v="4"/>
    <n v="0.55177834190215891"/>
    <x v="4"/>
    <x v="0"/>
    <n v="0.20090265478797795"/>
    <n v="1"/>
    <n v="1"/>
  </r>
  <r>
    <n v="20260137"/>
    <s v="2026-04-29"/>
    <s v="KT"/>
    <s v="LG"/>
    <n v="12001"/>
    <n v="5002"/>
    <n v="63.64"/>
    <n v="0.63640058961499757"/>
    <x v="4"/>
    <n v="0.63640058961499757"/>
    <x v="2"/>
    <x v="0"/>
    <n v="0.13220453123232143"/>
    <n v="1"/>
    <n v="1"/>
  </r>
  <r>
    <n v="20260138"/>
    <s v="2026-04-29"/>
    <s v="한화"/>
    <s v="SSG"/>
    <n v="7002"/>
    <n v="9002"/>
    <n v="58.4"/>
    <n v="0.58400595437538227"/>
    <x v="4"/>
    <n v="0.58400595437538227"/>
    <x v="4"/>
    <x v="0"/>
    <n v="0.34106295474590109"/>
    <n v="0"/>
    <n v="0"/>
  </r>
  <r>
    <n v="20260139"/>
    <s v="2026-04-29"/>
    <s v="롯데"/>
    <s v="키움"/>
    <n v="3001"/>
    <n v="10001"/>
    <n v="44.99"/>
    <n v="0.44988466053875648"/>
    <x v="4"/>
    <n v="0.55011533946124347"/>
    <x v="4"/>
    <x v="1"/>
    <n v="0.30262688671055915"/>
    <n v="0"/>
    <n v="1"/>
  </r>
  <r>
    <n v="20260140"/>
    <s v="2026-04-29"/>
    <s v="NC"/>
    <s v="KIA"/>
    <n v="11001"/>
    <n v="2002"/>
    <n v="66.16"/>
    <n v="0.6616164752638154"/>
    <x v="4"/>
    <n v="0.6616164752638154"/>
    <x v="1"/>
    <x v="0"/>
    <n v="0.43773636034051483"/>
    <n v="0"/>
    <n v="0"/>
  </r>
  <r>
    <n v="20260141"/>
    <s v="2026-04-30"/>
    <s v="두산"/>
    <s v="삼성"/>
    <n v="6002"/>
    <n v="1001"/>
    <n v="55.79"/>
    <n v="0.55788535767635072"/>
    <x v="4"/>
    <n v="0.55788535767635072"/>
    <x v="4"/>
    <x v="0"/>
    <n v="0.19546535695696834"/>
    <n v="1"/>
    <n v="1"/>
  </r>
  <r>
    <n v="20260142"/>
    <s v="2026-04-30"/>
    <s v="KT"/>
    <s v="LG"/>
    <n v="12001"/>
    <n v="5002"/>
    <n v="71.19"/>
    <n v="0.71191354307255306"/>
    <x v="4"/>
    <n v="0.71191354307255306"/>
    <x v="0"/>
    <x v="0"/>
    <n v="0.50682089281011589"/>
    <n v="0"/>
    <n v="0"/>
  </r>
  <r>
    <n v="20260143"/>
    <s v="2026-04-30"/>
    <s v="한화"/>
    <s v="SSG"/>
    <n v="7002"/>
    <n v="9002"/>
    <n v="58.16"/>
    <n v="0.58160695413560792"/>
    <x v="4"/>
    <n v="0.58160695413560792"/>
    <x v="4"/>
    <x v="0"/>
    <n v="0.33826664909889914"/>
    <n v="0"/>
    <n v="0"/>
  </r>
  <r>
    <n v="20260144"/>
    <s v="2026-04-30"/>
    <s v="롯데"/>
    <s v="키움"/>
    <n v="3001"/>
    <n v="10001"/>
    <n v="52.46"/>
    <n v="0.52463371250197677"/>
    <x v="4"/>
    <n v="0.52463371250197677"/>
    <x v="3"/>
    <x v="0"/>
    <n v="0.22597310728965328"/>
    <n v="1"/>
    <n v="1"/>
  </r>
  <r>
    <n v="20260145"/>
    <s v="2026-04-30"/>
    <s v="NC"/>
    <s v="KIA"/>
    <n v="11001"/>
    <n v="2002"/>
    <n v="32.03"/>
    <n v="0.3202911251751967"/>
    <x v="4"/>
    <n v="0.67970887482480324"/>
    <x v="1"/>
    <x v="1"/>
    <n v="0.10258640486599356"/>
    <n v="1"/>
    <n v="0"/>
  </r>
  <r>
    <n v="20260146"/>
    <s v="2026-05-01"/>
    <s v="LG"/>
    <s v="NC"/>
    <n v="5002"/>
    <n v="11001"/>
    <n v="50.46"/>
    <n v="0.50463092713137458"/>
    <x v="4"/>
    <n v="0.50463092713137458"/>
    <x v="3"/>
    <x v="0"/>
    <n v="0.2453905183547215"/>
    <n v="1"/>
    <n v="1"/>
  </r>
  <r>
    <n v="20260147"/>
    <s v="2026-05-01"/>
    <s v="키움"/>
    <s v="두산"/>
    <n v="10001"/>
    <n v="6002"/>
    <n v="41.32"/>
    <n v="0.41316338256861718"/>
    <x v="4"/>
    <n v="0.58683661743138282"/>
    <x v="4"/>
    <x v="1"/>
    <n v="0.34437721555830714"/>
    <n v="0"/>
    <n v="1"/>
  </r>
  <r>
    <n v="20260148"/>
    <s v="2026-05-01"/>
    <s v="SSG"/>
    <s v="롯데"/>
    <n v="9002"/>
    <n v="3001"/>
    <n v="38.950000000000003"/>
    <n v="0.3895130414945705"/>
    <x v="4"/>
    <n v="0.61048695850542956"/>
    <x v="2"/>
    <x v="1"/>
    <n v="0.37269432650521006"/>
    <n v="0"/>
    <n v="1"/>
  </r>
  <r>
    <n v="20260149"/>
    <s v="2026-05-01"/>
    <s v="삼성"/>
    <s v="한화"/>
    <n v="1001"/>
    <n v="7002"/>
    <n v="57.52"/>
    <n v="0.57521470195640556"/>
    <x v="4"/>
    <n v="0.57521470195640556"/>
    <x v="4"/>
    <x v="0"/>
    <n v="0.18044254943398536"/>
    <n v="1"/>
    <n v="1"/>
  </r>
  <r>
    <n v="20260150"/>
    <s v="2026-05-01"/>
    <s v="KIA"/>
    <s v="KT"/>
    <n v="2002"/>
    <n v="12001"/>
    <n v="50.26"/>
    <n v="0.50256032481434909"/>
    <x v="4"/>
    <n v="0.50256032481434909"/>
    <x v="3"/>
    <x v="0"/>
    <n v="0.25256688007750405"/>
    <n v="0"/>
    <n v="0"/>
  </r>
  <r>
    <n v="20260153"/>
    <s v="2026-05-02"/>
    <s v="SSG"/>
    <s v="롯데"/>
    <n v="9002"/>
    <n v="3001"/>
    <n v="35.93"/>
    <n v="0.35926329525738299"/>
    <x v="4"/>
    <n v="0.64073670474261701"/>
    <x v="2"/>
    <x v="1"/>
    <n v="0.41054352480442757"/>
    <n v="0"/>
    <n v="1"/>
  </r>
  <r>
    <n v="20260151"/>
    <s v="2026-05-02"/>
    <s v="LG"/>
    <s v="NC"/>
    <n v="5002"/>
    <n v="11001"/>
    <n v="69.38"/>
    <n v="0.69381605460492934"/>
    <x v="4"/>
    <n v="0.69381605460492934"/>
    <x v="1"/>
    <x v="0"/>
    <n v="9.3748608417691615E-2"/>
    <n v="1"/>
    <n v="1"/>
  </r>
  <r>
    <n v="20260152"/>
    <s v="2026-05-02"/>
    <s v="키움"/>
    <s v="두산"/>
    <n v="10001"/>
    <n v="6002"/>
    <n v="51.51"/>
    <n v="0.51505399857744283"/>
    <x v="4"/>
    <n v="0.51505399857744283"/>
    <x v="3"/>
    <x v="0"/>
    <n v="0.23517262429572683"/>
    <n v="1"/>
    <n v="1"/>
  </r>
  <r>
    <n v="20260154"/>
    <s v="2026-05-02"/>
    <s v="삼성"/>
    <s v="한화"/>
    <n v="1001"/>
    <n v="7002"/>
    <n v="63.57"/>
    <n v="0.63567515682099429"/>
    <x v="4"/>
    <n v="0.63567515682099429"/>
    <x v="2"/>
    <x v="0"/>
    <n v="0.4040829049993957"/>
    <n v="0"/>
    <n v="0"/>
  </r>
  <r>
    <n v="20260155"/>
    <s v="2026-05-02"/>
    <s v="KIA"/>
    <s v="KT"/>
    <n v="2002"/>
    <n v="12001"/>
    <n v="22.17"/>
    <n v="0.22170371590049451"/>
    <x v="4"/>
    <n v="0.77829628409950546"/>
    <x v="0"/>
    <x v="1"/>
    <n v="4.9152537644087196E-2"/>
    <n v="1"/>
    <n v="0"/>
  </r>
  <r>
    <n v="20260156"/>
    <s v="2026-05-03"/>
    <s v="LG"/>
    <s v="NC"/>
    <n v="5002"/>
    <n v="11001"/>
    <n v="59.68"/>
    <n v="0.59684347012091665"/>
    <x v="3"/>
    <n v="0.59684347012091665"/>
    <x v="4"/>
    <x v="0"/>
    <n v="0.35622212782597751"/>
    <n v="0"/>
    <n v="0"/>
  </r>
  <r>
    <n v="20260157"/>
    <s v="2026-05-03"/>
    <s v="키움"/>
    <s v="두산"/>
    <n v="10001"/>
    <n v="6002"/>
    <n v="33.700000000000003"/>
    <n v="0.3369959680937486"/>
    <x v="3"/>
    <n v="0.66300403190625135"/>
    <x v="1"/>
    <x v="1"/>
    <n v="0.43957434632394554"/>
    <n v="0"/>
    <n v="1"/>
  </r>
  <r>
    <n v="20260158"/>
    <s v="2026-05-03"/>
    <s v="SSG"/>
    <s v="롯데"/>
    <n v="9002"/>
    <n v="3001"/>
    <n v="52.53"/>
    <n v="0.52527052695926024"/>
    <x v="3"/>
    <n v="0.52527052695926024"/>
    <x v="3"/>
    <x v="0"/>
    <n v="0.27590912649205895"/>
    <n v="0"/>
    <n v="0"/>
  </r>
  <r>
    <n v="20260159"/>
    <s v="2026-05-03"/>
    <s v="삼성"/>
    <s v="한화"/>
    <n v="1001"/>
    <n v="7002"/>
    <n v="67.58"/>
    <n v="0.67583237925122353"/>
    <x v="3"/>
    <n v="0.67583237925122353"/>
    <x v="1"/>
    <x v="0"/>
    <n v="0.10508464634192258"/>
    <n v="1"/>
    <n v="1"/>
  </r>
  <r>
    <n v="20260160"/>
    <s v="2026-05-03"/>
    <s v="KIA"/>
    <s v="KT"/>
    <n v="2002"/>
    <n v="12001"/>
    <n v="60.45"/>
    <n v="0.60446466868121451"/>
    <x v="3"/>
    <n v="0.60446466868121451"/>
    <x v="2"/>
    <x v="0"/>
    <n v="0.36537753568389042"/>
    <n v="0"/>
    <n v="0"/>
  </r>
  <r>
    <n v="20260161"/>
    <s v="2026-05-05"/>
    <s v="LG"/>
    <s v="두산"/>
    <n v="5002"/>
    <n v="6002"/>
    <n v="55.57"/>
    <n v="0.55567707281989753"/>
    <x v="4"/>
    <n v="0.55567707281989753"/>
    <x v="4"/>
    <x v="0"/>
    <n v="0.19742286361789463"/>
    <n v="1"/>
    <n v="1"/>
  </r>
  <r>
    <n v="20260162"/>
    <s v="2026-05-05"/>
    <s v="SSG"/>
    <s v="NC"/>
    <n v="9002"/>
    <n v="11001"/>
    <n v="84.28"/>
    <n v="0.84279211685663924"/>
    <x v="4"/>
    <n v="0.84279211685663924"/>
    <x v="0"/>
    <x v="0"/>
    <s v=""/>
    <s v="draw"/>
    <s v=""/>
  </r>
  <r>
    <n v="20260163"/>
    <s v="2026-05-05"/>
    <s v="KT"/>
    <s v="롯데"/>
    <n v="12001"/>
    <n v="3001"/>
    <n v="49.71"/>
    <n v="0.49707154354092342"/>
    <x v="4"/>
    <n v="0.50292845645907658"/>
    <x v="3"/>
    <x v="1"/>
    <n v="0.24708011939815613"/>
    <n v="1"/>
    <n v="0"/>
  </r>
  <r>
    <n v="20260164"/>
    <s v="2026-05-05"/>
    <s v="삼성"/>
    <s v="키움"/>
    <n v="1001"/>
    <n v="10001"/>
    <n v="44.89"/>
    <n v="0.44887498522118152"/>
    <x v="4"/>
    <n v="0.55112501477881848"/>
    <x v="4"/>
    <x v="1"/>
    <n v="0.20148875235731592"/>
    <n v="1"/>
    <n v="0"/>
  </r>
  <r>
    <n v="20260165"/>
    <s v="2026-05-05"/>
    <s v="KIA"/>
    <s v="한화"/>
    <n v="2002"/>
    <n v="7002"/>
    <n v="49.57"/>
    <n v="0.49568704322347401"/>
    <x v="4"/>
    <n v="0.50431295677652599"/>
    <x v="3"/>
    <x v="1"/>
    <n v="0.2457056448196302"/>
    <n v="1"/>
    <n v="0"/>
  </r>
  <r>
    <n v="20260166"/>
    <s v="2026-05-06"/>
    <s v="LG"/>
    <s v="두산"/>
    <n v="5002"/>
    <n v="6002"/>
    <n v="35.159999999999997"/>
    <n v="0.3515808439856245"/>
    <x v="3"/>
    <n v="0.6484191560143755"/>
    <x v="2"/>
    <x v="1"/>
    <n v="0.12360908985764403"/>
    <n v="1"/>
    <n v="0"/>
  </r>
  <r>
    <n v="20260167"/>
    <s v="2026-05-06"/>
    <s v="SSG"/>
    <s v="NC"/>
    <n v="9002"/>
    <n v="11001"/>
    <n v="42.66"/>
    <n v="0.42664648567035862"/>
    <x v="3"/>
    <n v="0.57335351432964132"/>
    <x v="4"/>
    <x v="1"/>
    <n v="0.18202722373486757"/>
    <n v="1"/>
    <n v="0"/>
  </r>
  <r>
    <n v="20260168"/>
    <s v="2026-05-06"/>
    <s v="KT"/>
    <s v="롯데"/>
    <n v="12001"/>
    <n v="3001"/>
    <n v="46.81"/>
    <n v="0.46809450585983581"/>
    <x v="3"/>
    <n v="0.53190549414016419"/>
    <x v="3"/>
    <x v="1"/>
    <n v="0.28292345469649227"/>
    <n v="0"/>
    <n v="1"/>
  </r>
  <r>
    <n v="20260169"/>
    <s v="2026-05-06"/>
    <s v="삼성"/>
    <s v="키움"/>
    <n v="1001"/>
    <n v="10001"/>
    <n v="69.25"/>
    <n v="0.69253575020013602"/>
    <x v="3"/>
    <n v="0.69253575020013602"/>
    <x v="1"/>
    <x v="0"/>
    <n v="9.4534264904993157E-2"/>
    <n v="1"/>
    <n v="1"/>
  </r>
  <r>
    <n v="20260170"/>
    <s v="2026-05-06"/>
    <s v="KIA"/>
    <s v="한화"/>
    <n v="2002"/>
    <n v="7002"/>
    <n v="62.97"/>
    <n v="0.62966316006316803"/>
    <x v="3"/>
    <n v="0.62966316006316803"/>
    <x v="2"/>
    <x v="0"/>
    <n v="0.39647569514073477"/>
    <n v="0"/>
    <n v="0"/>
  </r>
  <r>
    <n v="20260171"/>
    <s v="2026-05-07"/>
    <s v="LG"/>
    <s v="두산"/>
    <n v="5002"/>
    <n v="6002"/>
    <n v="37.049999999999997"/>
    <n v="0.37045849261284891"/>
    <x v="3"/>
    <n v="0.62954150738715109"/>
    <x v="2"/>
    <x v="1"/>
    <n v="0.3963225095232864"/>
    <n v="0"/>
    <n v="1"/>
  </r>
  <r>
    <n v="20260172"/>
    <s v="2026-05-07"/>
    <s v="SSG"/>
    <s v="NC"/>
    <n v="9002"/>
    <n v="11001"/>
    <n v="39.909999999999997"/>
    <n v="0.3990798366473759"/>
    <x v="3"/>
    <n v="0.6009201633526241"/>
    <x v="2"/>
    <x v="1"/>
    <n v="0.36110504272374444"/>
    <n v="0"/>
    <n v="1"/>
  </r>
  <r>
    <n v="20260173"/>
    <s v="2026-05-07"/>
    <s v="KT"/>
    <s v="롯데"/>
    <n v="12001"/>
    <n v="3001"/>
    <n v="56.92"/>
    <n v="0.56922357890369957"/>
    <x v="4"/>
    <n v="0.56922357890369957"/>
    <x v="4"/>
    <x v="0"/>
    <s v=""/>
    <s v="cancel"/>
    <s v=""/>
  </r>
  <r>
    <n v="20260174"/>
    <s v="2026-05-07"/>
    <s v="삼성"/>
    <s v="키움"/>
    <n v="1001"/>
    <n v="10001"/>
    <n v="80.86"/>
    <n v="0.80862936549048037"/>
    <x v="3"/>
    <n v="0.80862936549048037"/>
    <x v="0"/>
    <x v="0"/>
    <n v="3.6622719752576145E-2"/>
    <n v="1"/>
    <n v="1"/>
  </r>
  <r>
    <n v="20260175"/>
    <s v="2026-05-07"/>
    <s v="KIA"/>
    <s v="한화"/>
    <n v="2002"/>
    <n v="7002"/>
    <n v="49.78"/>
    <n v="0.49783790744026168"/>
    <x v="3"/>
    <n v="0.50216209255973832"/>
    <x v="3"/>
    <x v="1"/>
    <n v="0.25216676720397518"/>
    <n v="0"/>
    <n v="1"/>
  </r>
  <r>
    <n v="20260176"/>
    <s v="2026-05-08"/>
    <s v="두산"/>
    <s v="SSG"/>
    <n v="6002"/>
    <n v="9002"/>
    <n v="63.78"/>
    <n v="0.63779924259582976"/>
    <x v="3"/>
    <n v="0.63779924259582976"/>
    <x v="2"/>
    <x v="0"/>
    <n v="0.40678787385581411"/>
    <n v="0"/>
    <n v="0"/>
  </r>
  <r>
    <n v="20260177"/>
    <s v="2026-05-08"/>
    <s v="키움"/>
    <s v="KT"/>
    <n v="10001"/>
    <n v="12001"/>
    <n v="58.9"/>
    <n v="0.58902498887762167"/>
    <x v="3"/>
    <n v="0.58902498887762167"/>
    <x v="4"/>
    <x v="0"/>
    <n v="0.34695043752228233"/>
    <n v="0"/>
    <n v="0"/>
  </r>
  <r>
    <n v="20260178"/>
    <s v="2026-05-08"/>
    <s v="한화"/>
    <s v="LG"/>
    <n v="7002"/>
    <n v="5002"/>
    <n v="48.08"/>
    <n v="0.48080597223779181"/>
    <x v="3"/>
    <n v="0.51919402776220824"/>
    <x v="3"/>
    <x v="1"/>
    <n v="0.26956243846394468"/>
    <n v="0"/>
    <n v="1"/>
  </r>
  <r>
    <n v="20260179"/>
    <s v="2026-05-08"/>
    <s v="롯데"/>
    <s v="KIA"/>
    <n v="3001"/>
    <n v="2002"/>
    <n v="54.6"/>
    <n v="0.54595145579946514"/>
    <x v="3"/>
    <n v="0.54595145579946514"/>
    <x v="3"/>
    <x v="0"/>
    <n v="0.29806299208955533"/>
    <n v="0"/>
    <n v="0"/>
  </r>
  <r>
    <n v="20260180"/>
    <s v="2026-05-08"/>
    <s v="NC"/>
    <s v="삼성"/>
    <n v="11001"/>
    <n v="1001"/>
    <n v="12.49"/>
    <n v="0.1248703257666177"/>
    <x v="3"/>
    <n v="0.87512967423338228"/>
    <x v="0"/>
    <x v="1"/>
    <n v="0.76585194672382584"/>
    <n v="0"/>
    <n v="1"/>
  </r>
  <r>
    <n v="20260183"/>
    <s v="2026-05-09"/>
    <s v="한화"/>
    <s v="LG"/>
    <n v="7002"/>
    <n v="5002"/>
    <n v="57.31"/>
    <n v="0.57307741578120308"/>
    <x v="4"/>
    <n v="0.57307741578120308"/>
    <x v="4"/>
    <x v="0"/>
    <n v="0.18226289291605574"/>
    <n v="1"/>
    <n v="1"/>
  </r>
  <r>
    <n v="20260181"/>
    <s v="2026-05-09"/>
    <s v="두산"/>
    <s v="SSG"/>
    <n v="6002"/>
    <n v="9002"/>
    <n v="74.760000000000005"/>
    <n v="0.74757672877705017"/>
    <x v="4"/>
    <n v="0.74757672877705017"/>
    <x v="0"/>
    <x v="0"/>
    <n v="6.3717507854894898E-2"/>
    <n v="1"/>
    <n v="1"/>
  </r>
  <r>
    <n v="20260182"/>
    <s v="2026-05-09"/>
    <s v="키움"/>
    <s v="KT"/>
    <n v="10001"/>
    <n v="12001"/>
    <n v="44.53"/>
    <n v="0.44526955648898792"/>
    <x v="4"/>
    <n v="0.55473044351101208"/>
    <x v="4"/>
    <x v="1"/>
    <s v=""/>
    <s v="draw"/>
    <s v=""/>
  </r>
  <r>
    <n v="20260184"/>
    <s v="2026-05-09"/>
    <s v="롯데"/>
    <s v="KIA"/>
    <n v="3001"/>
    <n v="2002"/>
    <n v="68.41"/>
    <n v="0.68413561292976277"/>
    <x v="4"/>
    <n v="0.68413561292976277"/>
    <x v="1"/>
    <x v="0"/>
    <n v="0.46804153687878219"/>
    <n v="0"/>
    <n v="0"/>
  </r>
  <r>
    <n v="20260185"/>
    <s v="2026-05-09"/>
    <s v="NC"/>
    <s v="삼성"/>
    <n v="11001"/>
    <n v="1001"/>
    <n v="29.31"/>
    <n v="0.29306590564598511"/>
    <x v="4"/>
    <n v="0.70693409435401489"/>
    <x v="0"/>
    <x v="1"/>
    <n v="0.49975581376013123"/>
    <n v="0"/>
    <n v="1"/>
  </r>
  <r>
    <n v="20260186"/>
    <s v="2026-05-10"/>
    <s v="두산"/>
    <s v="SSG"/>
    <n v="6002"/>
    <n v="9002"/>
    <n v="61.8"/>
    <n v="0.61802748790887685"/>
    <x v="3"/>
    <n v="0.61802748790887685"/>
    <x v="2"/>
    <x v="0"/>
    <n v="0.14590299999320322"/>
    <n v="1"/>
    <n v="1"/>
  </r>
  <r>
    <n v="20260187"/>
    <s v="2026-05-10"/>
    <s v="키움"/>
    <s v="KT"/>
    <n v="10001"/>
    <n v="12001"/>
    <n v="26.63"/>
    <n v="0.2662736548573697"/>
    <x v="3"/>
    <n v="0.73372634514263035"/>
    <x v="0"/>
    <x v="1"/>
    <n v="7.0901659271101619E-2"/>
    <n v="1"/>
    <n v="0"/>
  </r>
  <r>
    <n v="20260188"/>
    <s v="2026-05-10"/>
    <s v="한화"/>
    <s v="LG"/>
    <n v="7002"/>
    <n v="5002"/>
    <n v="38.69"/>
    <n v="0.38689300226251422"/>
    <x v="3"/>
    <n v="0.61310699773748578"/>
    <x v="2"/>
    <x v="1"/>
    <n v="0.14968619519970183"/>
    <n v="1"/>
    <n v="0"/>
  </r>
  <r>
    <n v="20260189"/>
    <s v="2026-05-10"/>
    <s v="롯데"/>
    <s v="KIA"/>
    <n v="3001"/>
    <n v="2002"/>
    <n v="54.02"/>
    <n v="0.54022591026078093"/>
    <x v="3"/>
    <n v="0.54022591026078093"/>
    <x v="3"/>
    <x v="0"/>
    <n v="0.21139221359552748"/>
    <n v="1"/>
    <n v="1"/>
  </r>
  <r>
    <n v="20260190"/>
    <s v="2026-05-10"/>
    <s v="NC"/>
    <s v="삼성"/>
    <n v="11001"/>
    <n v="1001"/>
    <n v="19.79"/>
    <n v="0.1979181508787887"/>
    <x v="3"/>
    <n v="0.80208184912121128"/>
    <x v="0"/>
    <x v="1"/>
    <n v="0.64333529268970158"/>
    <n v="0"/>
    <n v="1"/>
  </r>
  <r>
    <n v="20260191"/>
    <s v="2026-05-12"/>
    <s v="LG"/>
    <s v="삼성"/>
    <n v="5002"/>
    <n v="1001"/>
    <n v="27.68"/>
    <n v="0.27680352180093409"/>
    <x v="3"/>
    <n v="0.72319647819906585"/>
    <x v="0"/>
    <x v="1"/>
    <n v="0.52301314607953198"/>
    <n v="0"/>
    <n v="1"/>
  </r>
  <r>
    <n v="20260192"/>
    <s v="2026-05-12"/>
    <s v="키움"/>
    <s v="한화"/>
    <n v="10001"/>
    <n v="7002"/>
    <n v="23.9"/>
    <n v="0.2389945904564815"/>
    <x v="3"/>
    <n v="0.76100540954351847"/>
    <x v="0"/>
    <x v="1"/>
    <n v="0.57912923335449829"/>
    <n v="0"/>
    <n v="1"/>
  </r>
  <r>
    <n v="20260193"/>
    <s v="2026-05-12"/>
    <s v="KT"/>
    <s v="SSG"/>
    <n v="12001"/>
    <n v="9002"/>
    <n v="54.78"/>
    <n v="0.54779220382946492"/>
    <x v="3"/>
    <n v="0.54779220382946492"/>
    <x v="3"/>
    <x v="0"/>
    <n v="0.30007629857634205"/>
    <n v="0"/>
    <n v="0"/>
  </r>
  <r>
    <n v="20260194"/>
    <s v="2026-05-12"/>
    <s v="KIA"/>
    <s v="두산"/>
    <n v="2002"/>
    <n v="6002"/>
    <n v="69.680000000000007"/>
    <n v="0.69681241371972835"/>
    <x v="3"/>
    <n v="0.69681241371972835"/>
    <x v="1"/>
    <x v="0"/>
    <n v="0.48554753991391386"/>
    <n v="0"/>
    <n v="0"/>
  </r>
  <r>
    <n v="20260195"/>
    <s v="2026-05-12"/>
    <s v="롯데"/>
    <s v="NC"/>
    <n v="3001"/>
    <n v="11001"/>
    <n v="66.650000000000006"/>
    <n v="0.66651286693059675"/>
    <x v="3"/>
    <n v="0.66651286693059675"/>
    <x v="1"/>
    <x v="0"/>
    <n v="0.44423940178404336"/>
    <n v="0"/>
    <n v="0"/>
  </r>
  <r>
    <n v="20260196"/>
    <s v="2026-05-13"/>
    <s v="LG"/>
    <s v="삼성"/>
    <n v="5002"/>
    <n v="1001"/>
    <n v="35.47"/>
    <n v="0.35473851959136499"/>
    <x v="4"/>
    <n v="0.64526148040863496"/>
    <x v="2"/>
    <x v="1"/>
    <n v="0.12583941728187328"/>
    <n v="1"/>
    <n v="0"/>
  </r>
  <r>
    <n v="20260197"/>
    <s v="2026-05-13"/>
    <s v="키움"/>
    <s v="한화"/>
    <n v="10001"/>
    <n v="7002"/>
    <n v="52.26"/>
    <n v="0.52259919684169609"/>
    <x v="4"/>
    <n v="0.52259919684169609"/>
    <x v="3"/>
    <x v="0"/>
    <n v="0.22791152685619365"/>
    <n v="1"/>
    <n v="1"/>
  </r>
  <r>
    <n v="20260198"/>
    <s v="2026-05-13"/>
    <s v="KT"/>
    <s v="SSG"/>
    <n v="12001"/>
    <n v="9002"/>
    <n v="66.819999999999993"/>
    <n v="0.6681551578999807"/>
    <x v="4"/>
    <n v="0.6681551578999807"/>
    <x v="1"/>
    <x v="0"/>
    <n v="0.11012099922838674"/>
    <n v="1"/>
    <n v="1"/>
  </r>
  <r>
    <n v="20260199"/>
    <s v="2026-05-13"/>
    <s v="KIA"/>
    <s v="두산"/>
    <n v="2002"/>
    <n v="6002"/>
    <n v="20.28"/>
    <n v="0.20282557994091341"/>
    <x v="4"/>
    <n v="0.79717442005908656"/>
    <x v="0"/>
    <x v="1"/>
    <n v="4.113821587836787E-2"/>
    <n v="1"/>
    <n v="0"/>
  </r>
  <r>
    <n v="20260200"/>
    <s v="2026-05-13"/>
    <s v="롯데"/>
    <s v="NC"/>
    <n v="3001"/>
    <n v="11001"/>
    <n v="69.78"/>
    <n v="0.6977748647329215"/>
    <x v="4"/>
    <n v="0.6977748647329215"/>
    <x v="1"/>
    <x v="0"/>
    <n v="9.1340032387203896E-2"/>
    <n v="1"/>
    <n v="1"/>
  </r>
  <r>
    <n v="20260201"/>
    <s v="2026-05-14"/>
    <s v="LG"/>
    <s v="삼성"/>
    <n v="5002"/>
    <n v="1001"/>
    <n v="37.72"/>
    <n v="0.37721085819681888"/>
    <x v="3"/>
    <n v="0.62278914180318112"/>
    <x v="2"/>
    <x v="1"/>
    <n v="0.38786631514794284"/>
    <n v="0"/>
    <n v="1"/>
  </r>
  <r>
    <n v="20260202"/>
    <s v="2026-05-14"/>
    <s v="키움"/>
    <s v="한화"/>
    <n v="10001"/>
    <n v="7002"/>
    <n v="42.7"/>
    <n v="0.42702045798871918"/>
    <x v="3"/>
    <n v="0.57297954201128087"/>
    <x v="4"/>
    <x v="1"/>
    <n v="0.3283055555634572"/>
    <n v="0"/>
    <n v="1"/>
  </r>
  <r>
    <n v="20260203"/>
    <s v="2026-05-14"/>
    <s v="KT"/>
    <s v="SSG"/>
    <n v="12001"/>
    <n v="9002"/>
    <n v="63.06"/>
    <n v="0.63057005967076407"/>
    <x v="3"/>
    <n v="0.63057005967076407"/>
    <x v="2"/>
    <x v="0"/>
    <n v="0.39761860015319095"/>
    <n v="0"/>
    <n v="0"/>
  </r>
  <r>
    <n v="20260204"/>
    <s v="2026-05-14"/>
    <s v="KIA"/>
    <s v="두산"/>
    <n v="2002"/>
    <n v="6002"/>
    <n v="39.630000000000003"/>
    <n v="0.3963160945950911"/>
    <x v="3"/>
    <n v="0.6036839054049089"/>
    <x v="2"/>
    <x v="1"/>
    <n v="0.15706644683510521"/>
    <n v="1"/>
    <n v="0"/>
  </r>
  <r>
    <n v="20260205"/>
    <s v="2026-05-14"/>
    <s v="롯데"/>
    <s v="NC"/>
    <n v="3001"/>
    <n v="11001"/>
    <n v="43.45"/>
    <n v="0.43447635233201659"/>
    <x v="3"/>
    <n v="0.56552364766798346"/>
    <x v="4"/>
    <x v="1"/>
    <n v="0.3198169960717015"/>
    <n v="0"/>
    <n v="1"/>
  </r>
  <r>
    <n v="20260206"/>
    <s v="2026-05-15"/>
    <s v="두산"/>
    <s v="롯데"/>
    <n v="6002"/>
    <n v="3001"/>
    <n v="51.65"/>
    <n v="0.51653305415087114"/>
    <x v="4"/>
    <n v="0.51653305415087114"/>
    <x v="3"/>
    <x v="0"/>
    <n v="0.26680639603042677"/>
    <n v="0"/>
    <n v="0"/>
  </r>
  <r>
    <n v="20260207"/>
    <s v="2026-05-15"/>
    <s v="SSG"/>
    <s v="LG"/>
    <n v="9002"/>
    <n v="5002"/>
    <n v="10.28"/>
    <n v="0.10283560456027691"/>
    <x v="4"/>
    <n v="0.89716439543972304"/>
    <x v="0"/>
    <x v="1"/>
    <n v="0.80490395244472368"/>
    <n v="0"/>
    <n v="1"/>
  </r>
  <r>
    <n v="20260208"/>
    <s v="2026-05-15"/>
    <s v="KT"/>
    <s v="한화"/>
    <n v="12001"/>
    <n v="7002"/>
    <n v="47.53"/>
    <n v="0.47528575446268551"/>
    <x v="4"/>
    <n v="0.52471424553731449"/>
    <x v="3"/>
    <x v="1"/>
    <n v="0.27532503946979314"/>
    <n v="0"/>
    <n v="1"/>
  </r>
  <r>
    <n v="20260209"/>
    <s v="2026-05-15"/>
    <s v="삼성"/>
    <s v="KIA"/>
    <n v="1001"/>
    <n v="2002"/>
    <n v="54.48"/>
    <n v="0.54481118099037151"/>
    <x v="4"/>
    <n v="0.54481118099037151"/>
    <x v="3"/>
    <x v="0"/>
    <n v="0.29681922293212337"/>
    <n v="0"/>
    <n v="0"/>
  </r>
  <r>
    <n v="20260210"/>
    <s v="2026-05-15"/>
    <s v="NC"/>
    <s v="키움"/>
    <n v="11001"/>
    <n v="10001"/>
    <n v="32.65"/>
    <n v="0.32651681922754888"/>
    <x v="4"/>
    <n v="0.67348318077245106"/>
    <x v="1"/>
    <x v="1"/>
    <n v="0.453579594783378"/>
    <n v="0"/>
    <n v="1"/>
  </r>
  <r>
    <n v="20260213"/>
    <s v="2026-05-16"/>
    <s v="KT"/>
    <s v="한화"/>
    <n v="12001"/>
    <n v="7002"/>
    <n v="67.27"/>
    <n v="0.67274732239759016"/>
    <x v="4"/>
    <n v="0.67274732239759016"/>
    <x v="1"/>
    <x v="0"/>
    <n v="0.45258895979312713"/>
    <n v="0"/>
    <n v="0"/>
  </r>
  <r>
    <n v="20260211"/>
    <s v="2026-05-16"/>
    <s v="두산"/>
    <s v="롯데"/>
    <n v="6002"/>
    <n v="3001"/>
    <n v="60.27"/>
    <n v="0.60267201735313669"/>
    <x v="4"/>
    <n v="0.60267201735313669"/>
    <x v="2"/>
    <x v="0"/>
    <n v="0.15786952579422611"/>
    <n v="1"/>
    <n v="1"/>
  </r>
  <r>
    <n v="20260212"/>
    <s v="2026-05-16"/>
    <s v="SSG"/>
    <s v="LG"/>
    <n v="9002"/>
    <n v="5002"/>
    <n v="58.79"/>
    <n v="0.58785835302055856"/>
    <x v="4"/>
    <n v="0.58785835302055856"/>
    <x v="4"/>
    <x v="0"/>
    <n v="0.16986073717492653"/>
    <n v="1"/>
    <n v="1"/>
  </r>
  <r>
    <n v="20260214"/>
    <s v="2026-05-16"/>
    <s v="삼성"/>
    <s v="KIA"/>
    <n v="1001"/>
    <n v="2002"/>
    <n v="72.11"/>
    <n v="0.72110880786864662"/>
    <x v="4"/>
    <n v="0.72110880786864662"/>
    <x v="0"/>
    <x v="0"/>
    <n v="7.7780297048447467E-2"/>
    <n v="1"/>
    <n v="1"/>
  </r>
  <r>
    <n v="20260215"/>
    <s v="2026-05-16"/>
    <s v="NC"/>
    <s v="키움"/>
    <n v="11001"/>
    <n v="10001"/>
    <n v="41.03"/>
    <n v="0.41032730732744632"/>
    <x v="4"/>
    <n v="0.58967269267255373"/>
    <x v="4"/>
    <x v="1"/>
    <n v="0.16836849913859253"/>
    <n v="1"/>
    <n v="0"/>
  </r>
  <r>
    <n v="20260216"/>
    <s v="2026-05-17"/>
    <s v="두산"/>
    <s v="롯데"/>
    <n v="6002"/>
    <n v="3001"/>
    <n v="46.67"/>
    <n v="0.46665887539685058"/>
    <x v="4"/>
    <n v="0.53334112460314942"/>
    <x v="3"/>
    <x v="1"/>
    <n v="0.21777050598665332"/>
    <n v="1"/>
    <n v="0"/>
  </r>
  <r>
    <n v="20260217"/>
    <s v="2026-05-17"/>
    <s v="SSG"/>
    <s v="LG"/>
    <n v="9002"/>
    <n v="5002"/>
    <n v="50.49"/>
    <n v="0.50489644679328838"/>
    <x v="4"/>
    <n v="0.50489644679328838"/>
    <x v="3"/>
    <x v="0"/>
    <n v="0.25492042198448789"/>
    <n v="0"/>
    <n v="0"/>
  </r>
  <r>
    <n v="20260218"/>
    <s v="2026-05-17"/>
    <s v="KT"/>
    <s v="한화"/>
    <n v="12001"/>
    <n v="7002"/>
    <n v="28.02"/>
    <n v="0.28015551487173168"/>
    <x v="4"/>
    <n v="0.71984448512826837"/>
    <x v="0"/>
    <x v="1"/>
    <n v="7.8487112513045035E-2"/>
    <n v="1"/>
    <n v="0"/>
  </r>
  <r>
    <n v="20260219"/>
    <s v="2026-05-17"/>
    <s v="삼성"/>
    <s v="KIA"/>
    <n v="1001"/>
    <n v="2002"/>
    <n v="73.64"/>
    <n v="0.73644559344007476"/>
    <x v="4"/>
    <n v="0.73644559344007476"/>
    <x v="0"/>
    <x v="0"/>
    <n v="0.54235211209730394"/>
    <n v="0"/>
    <n v="0"/>
  </r>
  <r>
    <n v="20260220"/>
    <s v="2026-05-17"/>
    <s v="NC"/>
    <s v="키움"/>
    <n v="11001"/>
    <n v="10001"/>
    <n v="56.37"/>
    <n v="0.56368084858375045"/>
    <x v="4"/>
    <n v="0.56368084858375045"/>
    <x v="4"/>
    <x v="0"/>
    <n v="0.31773609906009698"/>
    <n v="0"/>
    <n v="0"/>
  </r>
  <r>
    <n v="20260221"/>
    <s v="2026-05-19"/>
    <s v="두산"/>
    <s v="NC"/>
    <n v="6002"/>
    <n v="11001"/>
    <n v="64.540000000000006"/>
    <n v="0.64541879325717844"/>
    <x v="5"/>
    <n v="0.64541879325717844"/>
    <x v="2"/>
    <x v="0"/>
    <n v="0.12572783217519556"/>
    <n v="1"/>
    <n v="1"/>
  </r>
  <r>
    <n v="20260222"/>
    <s v="2026-05-19"/>
    <s v="키움"/>
    <s v="SSG"/>
    <n v="10001"/>
    <n v="9002"/>
    <n v="69.17"/>
    <n v="0.69166026389860746"/>
    <x v="5"/>
    <n v="0.69166026389860746"/>
    <x v="1"/>
    <x v="0"/>
    <n v="9.5073392859076386E-2"/>
    <n v="1"/>
    <n v="1"/>
  </r>
  <r>
    <n v="20260223"/>
    <s v="2026-05-19"/>
    <s v="한화"/>
    <s v="롯데"/>
    <n v="7002"/>
    <n v="3001"/>
    <n v="47.15"/>
    <n v="0.47150279184270699"/>
    <x v="5"/>
    <n v="0.52849720815729295"/>
    <x v="3"/>
    <x v="1"/>
    <n v="0.27930929903005303"/>
    <n v="0"/>
    <n v="1"/>
  </r>
  <r>
    <n v="20260224"/>
    <s v="2026-05-19"/>
    <s v="삼성"/>
    <s v="KT"/>
    <n v="1001"/>
    <n v="12001"/>
    <n v="47.87"/>
    <n v="0.47871234193640388"/>
    <x v="5"/>
    <n v="0.52128765806359612"/>
    <x v="3"/>
    <x v="1"/>
    <n v="0.22916550632223648"/>
    <n v="1"/>
    <n v="0"/>
  </r>
  <r>
    <n v="20260225"/>
    <s v="2026-05-19"/>
    <s v="KIA"/>
    <s v="LG"/>
    <n v="2002"/>
    <n v="5002"/>
    <n v="55.82"/>
    <n v="0.55822530120292735"/>
    <x v="5"/>
    <n v="0.55822530120292735"/>
    <x v="4"/>
    <x v="0"/>
    <n v="0.19516488449724426"/>
    <n v="1"/>
    <n v="1"/>
  </r>
  <r>
    <n v="20260226"/>
    <s v="2026-05-20"/>
    <s v="두산"/>
    <s v="NC"/>
    <n v="6002"/>
    <n v="11001"/>
    <n v="63.31"/>
    <n v="0.63314900186722278"/>
    <x v="5"/>
    <n v="0.63314900186722278"/>
    <x v="2"/>
    <x v="0"/>
    <s v=""/>
    <s v="cancel"/>
    <s v=""/>
  </r>
  <r>
    <n v="20260227"/>
    <s v="2026-05-20"/>
    <s v="키움"/>
    <s v="SSG"/>
    <n v="10001"/>
    <n v="9002"/>
    <n v="56.84"/>
    <n v="0.56835375928011256"/>
    <x v="5"/>
    <n v="0.56835375928011256"/>
    <x v="4"/>
    <x v="0"/>
    <n v="0.18631847712761102"/>
    <n v="1"/>
    <n v="1"/>
  </r>
  <r>
    <n v="20260228"/>
    <s v="2026-05-20"/>
    <s v="한화"/>
    <s v="롯데"/>
    <n v="7002"/>
    <n v="3001"/>
    <n v="50.47"/>
    <n v="0.504656170161356"/>
    <x v="5"/>
    <n v="0.504656170161356"/>
    <x v="3"/>
    <x v="0"/>
    <s v=""/>
    <s v="cancel"/>
    <s v=""/>
  </r>
  <r>
    <n v="20260229"/>
    <s v="2026-05-20"/>
    <s v="삼성"/>
    <s v="KT"/>
    <n v="1001"/>
    <n v="12001"/>
    <n v="42.89"/>
    <n v="0.42885993790232779"/>
    <x v="5"/>
    <n v="0.57114006209767221"/>
    <x v="4"/>
    <x v="1"/>
    <s v=""/>
    <s v="cancel"/>
    <s v=""/>
  </r>
  <r>
    <n v="20260230"/>
    <s v="2026-05-20"/>
    <s v="KIA"/>
    <s v="LG"/>
    <n v="2002"/>
    <n v="5002"/>
    <n v="43.01"/>
    <n v="0.43008823462332102"/>
    <x v="5"/>
    <n v="0.56991176537667898"/>
    <x v="4"/>
    <x v="1"/>
    <s v=""/>
    <s v="cancel"/>
    <s v=""/>
  </r>
  <r>
    <n v="20260231"/>
    <s v="2026-05-21"/>
    <s v="두산"/>
    <s v="NC"/>
    <n v="6002"/>
    <n v="11001"/>
    <n v="63.31"/>
    <n v="0.633149786358988"/>
    <x v="5"/>
    <n v="0.633149786358988"/>
    <x v="2"/>
    <x v="0"/>
    <n v="0.13457907924845613"/>
    <n v="1"/>
    <n v="1"/>
  </r>
  <r>
    <n v="20260232"/>
    <s v="2026-05-21"/>
    <s v="키움"/>
    <s v="SSG"/>
    <n v="10001"/>
    <n v="9002"/>
    <n v="75.739999999999995"/>
    <n v="0.75740526196817082"/>
    <x v="5"/>
    <n v="0.75740526196817082"/>
    <x v="0"/>
    <x v="0"/>
    <n v="5.8852206920731828E-2"/>
    <n v="1"/>
    <n v="1"/>
  </r>
  <r>
    <n v="20260233"/>
    <s v="2026-05-21"/>
    <s v="한화"/>
    <s v="롯데"/>
    <n v="7002"/>
    <n v="3001"/>
    <n v="50.47"/>
    <n v="0.50465532586424189"/>
    <x v="5"/>
    <n v="0.50465532586424189"/>
    <x v="3"/>
    <x v="0"/>
    <n v="0.25467699792314419"/>
    <n v="0"/>
    <n v="0"/>
  </r>
  <r>
    <n v="20260234"/>
    <s v="2026-05-21"/>
    <s v="삼성"/>
    <s v="KT"/>
    <n v="1001"/>
    <n v="12001"/>
    <n v="49.92"/>
    <n v="0.49922320700982609"/>
    <x v="5"/>
    <n v="0.50077679299017386"/>
    <x v="3"/>
    <x v="1"/>
    <n v="0.24922381041717573"/>
    <n v="1"/>
    <n v="0"/>
  </r>
  <r>
    <n v="20260235"/>
    <s v="2026-05-21"/>
    <s v="KIA"/>
    <s v="LG"/>
    <n v="2002"/>
    <n v="5002"/>
    <n v="58.24"/>
    <n v="0.58241364021158204"/>
    <x v="5"/>
    <n v="0.58241364021158204"/>
    <x v="4"/>
    <x v="0"/>
    <n v="0.33920564830450611"/>
    <n v="0"/>
    <n v="0"/>
  </r>
  <r>
    <n v="20260236"/>
    <s v="2026-05-22"/>
    <s v="LG"/>
    <s v="키움"/>
    <n v="5002"/>
    <n v="10001"/>
    <n v="46.22"/>
    <n v="0.46219250246419458"/>
    <x v="5"/>
    <n v="0.53780749753580537"/>
    <x v="3"/>
    <x v="1"/>
    <n v="0.2892369044057253"/>
    <n v="0"/>
    <n v="1"/>
  </r>
  <r>
    <n v="20260237"/>
    <s v="2026-05-22"/>
    <s v="KT"/>
    <s v="NC"/>
    <n v="12001"/>
    <n v="11001"/>
    <n v="36.630000000000003"/>
    <n v="0.36625823870451951"/>
    <x v="5"/>
    <n v="0.63374176129548054"/>
    <x v="2"/>
    <x v="1"/>
    <n v="0.13414509741893677"/>
    <n v="1"/>
    <n v="0"/>
  </r>
  <r>
    <n v="20260238"/>
    <s v="2026-05-22"/>
    <s v="한화"/>
    <s v="두산"/>
    <n v="7002"/>
    <n v="6002"/>
    <n v="45.68"/>
    <n v="0.45684360697991783"/>
    <x v="5"/>
    <n v="0.54315639302008223"/>
    <x v="3"/>
    <x v="1"/>
    <n v="0.20870608123842158"/>
    <n v="1"/>
    <n v="0"/>
  </r>
  <r>
    <n v="20260239"/>
    <s v="2026-05-22"/>
    <s v="KIA"/>
    <s v="SSG"/>
    <n v="2002"/>
    <n v="9002"/>
    <n v="51.29"/>
    <n v="0.5128556736512051"/>
    <x v="5"/>
    <n v="0.5128556736512051"/>
    <x v="3"/>
    <x v="0"/>
    <n v="0.23730959469382118"/>
    <n v="1"/>
    <n v="1"/>
  </r>
  <r>
    <n v="20260240"/>
    <s v="2026-05-22"/>
    <s v="롯데"/>
    <s v="삼성"/>
    <n v="3001"/>
    <n v="1001"/>
    <n v="46.47"/>
    <n v="0.46468082497436769"/>
    <x v="5"/>
    <n v="0.53531917502563231"/>
    <x v="3"/>
    <x v="1"/>
    <n v="0.28656661915012355"/>
    <n v="0"/>
    <n v="1"/>
  </r>
  <r>
    <n v="20260241"/>
    <s v="2026-05-23"/>
    <s v="LG"/>
    <s v="키움"/>
    <n v="5002"/>
    <n v="10001"/>
    <n v="43.37"/>
    <n v="0.43367318194427112"/>
    <x v="5"/>
    <n v="0.56632681805572882"/>
    <x v="4"/>
    <x v="1"/>
    <n v="0.18807242873766894"/>
    <n v="1"/>
    <n v="0"/>
  </r>
  <r>
    <n v="20260242"/>
    <s v="2026-05-23"/>
    <s v="KT"/>
    <s v="NC"/>
    <n v="12001"/>
    <n v="11001"/>
    <n v="46.58"/>
    <n v="0.46576015587692088"/>
    <x v="5"/>
    <n v="0.53423984412307912"/>
    <x v="3"/>
    <x v="1"/>
    <n v="0.21693252280249364"/>
    <n v="1"/>
    <n v="0"/>
  </r>
  <r>
    <n v="20260243"/>
    <s v="2026-05-23"/>
    <s v="한화"/>
    <s v="두산"/>
    <n v="7002"/>
    <n v="6002"/>
    <n v="52.76"/>
    <n v="0.52762040797043308"/>
    <x v="5"/>
    <n v="0.52762040797043308"/>
    <x v="3"/>
    <x v="0"/>
    <n v="0.22314247896602007"/>
    <n v="1"/>
    <n v="1"/>
  </r>
  <r>
    <n v="20260244"/>
    <s v="2026-05-23"/>
    <s v="KIA"/>
    <s v="SSG"/>
    <n v="2002"/>
    <n v="9002"/>
    <n v="51.48"/>
    <n v="0.51483808378101581"/>
    <x v="5"/>
    <n v="0.51483808378101581"/>
    <x v="3"/>
    <x v="0"/>
    <n v="0.23538208494927665"/>
    <n v="1"/>
    <n v="1"/>
  </r>
  <r>
    <n v="20260245"/>
    <s v="2026-05-23"/>
    <s v="롯데"/>
    <s v="삼성"/>
    <n v="3001"/>
    <n v="1001"/>
    <n v="43.71"/>
    <n v="0.43714420964798878"/>
    <x v="5"/>
    <n v="0.56285579035201128"/>
    <x v="4"/>
    <x v="1"/>
    <n v="0.19109506002876472"/>
    <n v="1"/>
    <n v="0"/>
  </r>
  <r>
    <n v="20260246"/>
    <s v="2026-05-24"/>
    <s v="LG"/>
    <s v="키움"/>
    <n v="5002"/>
    <n v="10001"/>
    <n v="38.380000000000003"/>
    <n v="0.38378334890491328"/>
    <x v="5"/>
    <n v="0.61621665109508672"/>
    <x v="2"/>
    <x v="1"/>
    <n v="0.14728965889667039"/>
    <n v="1"/>
    <n v="0"/>
  </r>
  <r>
    <n v="20260247"/>
    <s v="2026-05-24"/>
    <s v="KT"/>
    <s v="NC"/>
    <n v="12001"/>
    <n v="11001"/>
    <n v="44.14"/>
    <n v="0.44144291926583429"/>
    <x v="5"/>
    <n v="0.55855708073416577"/>
    <x v="4"/>
    <x v="1"/>
    <n v="0.3119860124382734"/>
    <n v="0"/>
    <n v="1"/>
  </r>
  <r>
    <n v="20260248"/>
    <s v="2026-05-24"/>
    <s v="한화"/>
    <s v="두산"/>
    <n v="7002"/>
    <n v="6002"/>
    <n v="58.62"/>
    <n v="0.58619496472660004"/>
    <x v="5"/>
    <n v="0.58619496472660004"/>
    <x v="4"/>
    <x v="0"/>
    <n v="0.17123460721761979"/>
    <n v="1"/>
    <n v="1"/>
  </r>
  <r>
    <n v="20260249"/>
    <s v="2026-05-24"/>
    <s v="KIA"/>
    <s v="SSG"/>
    <n v="2002"/>
    <n v="9002"/>
    <n v="76.319999999999993"/>
    <n v="0.76316035195787568"/>
    <x v="5"/>
    <n v="0.76316035195787568"/>
    <x v="0"/>
    <x v="0"/>
    <n v="5.6093018884717322E-2"/>
    <n v="1"/>
    <n v="1"/>
  </r>
  <r>
    <n v="20260250"/>
    <s v="2026-05-24"/>
    <s v="롯데"/>
    <s v="삼성"/>
    <n v="3001"/>
    <n v="1001"/>
    <n v="50.72"/>
    <n v="0.50724439026908807"/>
    <x v="5"/>
    <n v="0.50724439026908807"/>
    <x v="3"/>
    <x v="0"/>
    <n v="0.25729687145945895"/>
    <n v="0"/>
    <n v="0"/>
  </r>
  <r>
    <n v="20260251"/>
    <s v="2026-05-26"/>
    <s v="두산"/>
    <s v="KT"/>
    <n v="6002"/>
    <n v="12001"/>
    <n v="57"/>
    <n v="0.57000601915238747"/>
    <x v="5"/>
    <n v="0.57000601915238747"/>
    <x v="4"/>
    <x v="0"/>
    <n v="0.32490686186995188"/>
    <n v="0"/>
    <n v="0"/>
  </r>
  <r>
    <n v="20260252"/>
    <s v="2026-05-26"/>
    <s v="키움"/>
    <s v="KIA"/>
    <n v="10001"/>
    <n v="2002"/>
    <n v="83.2"/>
    <n v="0.83199066960898471"/>
    <x v="5"/>
    <n v="0.83199066960898471"/>
    <x v="0"/>
    <x v="0"/>
    <n v="0.69220847431640675"/>
    <n v="0"/>
    <n v="0"/>
  </r>
  <r>
    <n v="20260253"/>
    <s v="2026-05-26"/>
    <s v="SSG"/>
    <s v="삼성"/>
    <n v="9002"/>
    <n v="1001"/>
    <n v="30.97"/>
    <n v="0.30968607412305132"/>
    <x v="5"/>
    <n v="0.69031392587694862"/>
    <x v="1"/>
    <x v="1"/>
    <s v=""/>
    <s v="cancel"/>
    <s v=""/>
  </r>
  <r>
    <n v="20260254"/>
    <s v="2026-05-26"/>
    <s v="롯데"/>
    <s v="LG"/>
    <n v="3001"/>
    <n v="5002"/>
    <n v="53.44"/>
    <n v="0.53441269732836494"/>
    <x v="5"/>
    <n v="0.53441269732836494"/>
    <x v="3"/>
    <x v="0"/>
    <n v="0.2855969310657786"/>
    <n v="0"/>
    <n v="0"/>
  </r>
  <r>
    <n v="20260255"/>
    <s v="2026-05-26"/>
    <s v="NC"/>
    <s v="한화"/>
    <n v="11001"/>
    <n v="7002"/>
    <n v="42.96"/>
    <n v="0.42957927838764609"/>
    <x v="5"/>
    <n v="0.57042072161235391"/>
    <x v="4"/>
    <x v="1"/>
    <s v=""/>
    <s v="cancel"/>
    <s v=""/>
  </r>
  <r>
    <n v="20260256"/>
    <s v="2026-05-27"/>
    <s v="두산"/>
    <s v="KT"/>
    <n v="6002"/>
    <n v="12001"/>
    <n v="42.24"/>
    <n v="0.42239761089530892"/>
    <x v="6"/>
    <n v="0.57760238910469108"/>
    <x v="4"/>
    <x v="1"/>
    <n v="0.1784197416900648"/>
    <n v="1"/>
    <n v="0"/>
  </r>
  <r>
    <n v="20260257"/>
    <s v="2026-05-27"/>
    <s v="키움"/>
    <s v="KIA"/>
    <n v="10001"/>
    <n v="2002"/>
    <n v="38.1"/>
    <n v="0.38096522907359159"/>
    <x v="6"/>
    <n v="0.61903477092640835"/>
    <x v="2"/>
    <x v="1"/>
    <n v="0.38320404761591087"/>
    <n v="0"/>
    <n v="1"/>
  </r>
  <r>
    <n v="20260258"/>
    <s v="2026-05-27"/>
    <s v="SSG"/>
    <s v="삼성"/>
    <n v="9002"/>
    <n v="1001"/>
    <n v="20.74"/>
    <n v="0.20736297099376749"/>
    <x v="6"/>
    <n v="0.79263702900623256"/>
    <x v="0"/>
    <x v="1"/>
    <n v="0.62827345975182713"/>
    <n v="0"/>
    <n v="1"/>
  </r>
  <r>
    <n v="20260259"/>
    <s v="2026-05-27"/>
    <s v="롯데"/>
    <s v="LG"/>
    <n v="3001"/>
    <n v="5002"/>
    <n v="59.92"/>
    <n v="0.59918164786550099"/>
    <x v="6"/>
    <n v="0.59918164786550099"/>
    <x v="4"/>
    <x v="0"/>
    <n v="0.3590186471388172"/>
    <n v="0"/>
    <n v="0"/>
  </r>
  <r>
    <n v="20260260"/>
    <s v="2026-05-27"/>
    <s v="NC"/>
    <s v="한화"/>
    <n v="11001"/>
    <n v="7002"/>
    <n v="44.41"/>
    <n v="0.4440588662255105"/>
    <x v="6"/>
    <n v="0.5559411337744895"/>
    <x v="4"/>
    <x v="1"/>
    <n v="0.19718827667348582"/>
    <n v="1"/>
    <n v="0"/>
  </r>
  <r>
    <n v="20260261"/>
    <s v="2026-05-28"/>
    <s v="두산"/>
    <s v="KT"/>
    <n v="6002"/>
    <n v="12001"/>
    <n v="57.79"/>
    <n v="0.57788393095212454"/>
    <x v="5"/>
    <n v="0.57788393095212454"/>
    <x v="4"/>
    <x v="0"/>
    <n v="0.33394983765267983"/>
    <n v="0"/>
    <n v="0"/>
  </r>
  <r>
    <n v="20260262"/>
    <s v="2026-05-28"/>
    <s v="키움"/>
    <s v="KIA"/>
    <n v="10001"/>
    <n v="2002"/>
    <n v="70.2"/>
    <n v="0.7020440646037398"/>
    <x v="5"/>
    <n v="0.7020440646037398"/>
    <x v="0"/>
    <x v="0"/>
    <n v="0.49286586864533999"/>
    <n v="0"/>
    <n v="0"/>
  </r>
  <r>
    <n v="20260263"/>
    <s v="2026-05-28"/>
    <s v="SSG"/>
    <s v="삼성"/>
    <n v="9002"/>
    <n v="1001"/>
    <n v="29.39"/>
    <n v="0.29388591236651568"/>
    <x v="5"/>
    <n v="0.70611408763348438"/>
    <x v="0"/>
    <x v="1"/>
    <n v="0.49859710475446806"/>
    <n v="0"/>
    <n v="1"/>
  </r>
  <r>
    <n v="20260264"/>
    <s v="2026-05-28"/>
    <s v="롯데"/>
    <s v="LG"/>
    <n v="3001"/>
    <n v="5002"/>
    <n v="58.42"/>
    <n v="0.58417324628705924"/>
    <x v="5"/>
    <n v="0.58417324628705924"/>
    <x v="4"/>
    <x v="0"/>
    <n v="0.17291188910344268"/>
    <n v="1"/>
    <n v="1"/>
  </r>
  <r>
    <n v="20260265"/>
    <s v="2026-05-28"/>
    <s v="NC"/>
    <s v="한화"/>
    <n v="11001"/>
    <n v="7002"/>
    <n v="48.92"/>
    <n v="0.48917405383222651"/>
    <x v="5"/>
    <n v="0.51082594616777355"/>
    <x v="3"/>
    <x v="1"/>
    <n v="0.26094314727820106"/>
    <n v="0"/>
    <n v="1"/>
  </r>
  <r>
    <n v="20260266"/>
    <s v="2026-05-29"/>
    <s v="LG"/>
    <s v="KIA"/>
    <n v="5002"/>
    <n v="2002"/>
    <n v="67.459999999999994"/>
    <n v="0.67463903160243821"/>
    <x v="5"/>
    <n v="0.67463903160243821"/>
    <x v="1"/>
    <x v="0"/>
    <n v="0.1058597597565992"/>
    <n v="1"/>
    <n v="1"/>
  </r>
  <r>
    <n v="20260267"/>
    <s v="2026-05-29"/>
    <s v="키움"/>
    <s v="KT"/>
    <n v="10001"/>
    <n v="12001"/>
    <n v="53.45"/>
    <n v="0.53453721487078865"/>
    <x v="5"/>
    <n v="0.53453721487078865"/>
    <x v="3"/>
    <x v="0"/>
    <n v="0.28573003408181968"/>
    <n v="0"/>
    <n v="0"/>
  </r>
  <r>
    <n v="20260268"/>
    <s v="2026-05-29"/>
    <s v="한화"/>
    <s v="SSG"/>
    <n v="7002"/>
    <n v="9002"/>
    <n v="61.71"/>
    <n v="0.61706213234715135"/>
    <x v="5"/>
    <n v="0.61706213234715135"/>
    <x v="2"/>
    <x v="0"/>
    <n v="0.14664141048251064"/>
    <n v="1"/>
    <n v="1"/>
  </r>
  <r>
    <n v="20260269"/>
    <s v="2026-05-29"/>
    <s v="삼성"/>
    <s v="두산"/>
    <n v="1001"/>
    <n v="6002"/>
    <n v="52.19"/>
    <n v="0.52193072498031956"/>
    <x v="5"/>
    <n v="0.52193072498031956"/>
    <x v="3"/>
    <x v="0"/>
    <n v="0.27241168167848195"/>
    <n v="0"/>
    <n v="0"/>
  </r>
  <r>
    <n v="20260270"/>
    <s v="2026-05-29"/>
    <s v="NC"/>
    <s v="롯데"/>
    <n v="11001"/>
    <n v="3001"/>
    <n v="52.48"/>
    <n v="0.52480278940696001"/>
    <x v="5"/>
    <n v="0.52480278940696001"/>
    <x v="3"/>
    <x v="0"/>
    <n v="0.27541796776932603"/>
    <n v="0"/>
    <n v="0"/>
  </r>
  <r>
    <n v="20260274"/>
    <s v="2026-05-30"/>
    <s v="삼성"/>
    <s v="두산"/>
    <n v="1001"/>
    <n v="6002"/>
    <n v="60.22"/>
    <n v="0.60219726142385843"/>
    <x v="5"/>
    <n v="0.60219726142385843"/>
    <x v="2"/>
    <x v="0"/>
    <n v="0.3626415416663949"/>
    <n v="0"/>
    <n v="0"/>
  </r>
  <r>
    <n v="20260271"/>
    <s v="2026-05-30"/>
    <s v="LG"/>
    <s v="KIA"/>
    <n v="5002"/>
    <n v="2002"/>
    <n v="32.700000000000003"/>
    <n v="0.3270455046355627"/>
    <x v="5"/>
    <n v="0.6729544953644373"/>
    <x v="1"/>
    <x v="1"/>
    <n v="0.10695876210232987"/>
    <n v="1"/>
    <n v="0"/>
  </r>
  <r>
    <n v="20260272"/>
    <s v="2026-05-30"/>
    <s v="키움"/>
    <s v="KT"/>
    <n v="10001"/>
    <n v="12001"/>
    <n v="100"/>
    <n v="1"/>
    <x v="5"/>
    <n v="1"/>
    <x v="0"/>
    <x v="0"/>
    <n v="1"/>
    <n v="0"/>
    <n v="0"/>
  </r>
  <r>
    <n v="20260273"/>
    <s v="2026-05-30"/>
    <s v="한화"/>
    <s v="SSG"/>
    <n v="7002"/>
    <n v="9002"/>
    <n v="65.03"/>
    <n v="0.65032580023662456"/>
    <x v="5"/>
    <n v="0.65032580023662456"/>
    <x v="1"/>
    <x v="0"/>
    <n v="0.12227204598015699"/>
    <n v="1"/>
    <n v="1"/>
  </r>
  <r>
    <n v="20260275"/>
    <s v="2026-05-30"/>
    <s v="NC"/>
    <s v="롯데"/>
    <n v="11001"/>
    <n v="3001"/>
    <n v="78.66"/>
    <n v="0.78663224274055554"/>
    <x v="5"/>
    <n v="0.78663224274055554"/>
    <x v="0"/>
    <x v="0"/>
    <n v="4.5525799837925214E-2"/>
    <n v="1"/>
    <n v="1"/>
  </r>
  <r>
    <n v="20260276"/>
    <s v="2026-05-31"/>
    <s v="LG"/>
    <s v="KIA"/>
    <n v="5002"/>
    <n v="2002"/>
    <n v="54.51"/>
    <n v="0.54514283963878651"/>
    <x v="5"/>
    <n v="0.54514283963878651"/>
    <x v="3"/>
    <x v="0"/>
    <n v="0.20689503633186668"/>
    <n v="1"/>
    <n v="1"/>
  </r>
  <r>
    <n v="20260277"/>
    <s v="2026-05-31"/>
    <s v="키움"/>
    <s v="KT"/>
    <n v="10001"/>
    <n v="12001"/>
    <n v="48.67"/>
    <n v="0.4867316451000267"/>
    <x v="5"/>
    <n v="0.51326835489997324"/>
    <x v="3"/>
    <x v="1"/>
    <n v="0.26344440414172487"/>
    <n v="0"/>
    <n v="1"/>
  </r>
  <r>
    <n v="20260278"/>
    <s v="2026-05-31"/>
    <s v="한화"/>
    <s v="SSG"/>
    <n v="7002"/>
    <n v="9002"/>
    <n v="65.27"/>
    <n v="0.65273308479492664"/>
    <x v="5"/>
    <n v="0.65273308479492664"/>
    <x v="1"/>
    <x v="0"/>
    <n v="0.12059431039604761"/>
    <n v="1"/>
    <n v="1"/>
  </r>
  <r>
    <n v="20260279"/>
    <s v="2026-05-31"/>
    <s v="삼성"/>
    <s v="두산"/>
    <n v="1001"/>
    <n v="6002"/>
    <n v="46.96"/>
    <n v="0.46963994071891141"/>
    <x v="5"/>
    <n v="0.53036005928108865"/>
    <x v="3"/>
    <x v="1"/>
    <n v="0.22056167391846257"/>
    <n v="1"/>
    <n v="0"/>
  </r>
  <r>
    <n v="20260280"/>
    <s v="2026-05-31"/>
    <s v="NC"/>
    <s v="롯데"/>
    <n v="11001"/>
    <n v="3001"/>
    <n v="33"/>
    <n v="0.33001244871207708"/>
    <x v="5"/>
    <n v="0.66998755128792298"/>
    <x v="1"/>
    <x v="1"/>
    <n v="0.10890821630494127"/>
    <n v="1"/>
    <n v="0"/>
  </r>
  <r>
    <n v="20260281"/>
    <s v="2026-06-02"/>
    <s v="두산"/>
    <s v="한화"/>
    <n v="6002"/>
    <n v="7002"/>
    <n v="45.2"/>
    <n v="0.45199373300717349"/>
    <x v="6"/>
    <n v="0.54800626699282651"/>
    <x v="3"/>
    <x v="1"/>
    <n v="0.20429833467776004"/>
    <n v="1"/>
    <n v="0"/>
  </r>
  <r>
    <n v="20260282"/>
    <s v="2026-06-02"/>
    <s v="SSG"/>
    <s v="키움"/>
    <n v="9002"/>
    <n v="10001"/>
    <n v="48.96"/>
    <n v="0.48956427273012643"/>
    <x v="6"/>
    <n v="0.51043572726987363"/>
    <x v="3"/>
    <x v="1"/>
    <n v="0.26054463167352482"/>
    <n v="0"/>
    <n v="1"/>
  </r>
  <r>
    <n v="20260283"/>
    <s v="2026-06-02"/>
    <s v="KT"/>
    <s v="LG"/>
    <n v="12001"/>
    <n v="5002"/>
    <n v="55.52"/>
    <n v="0.55521472304369157"/>
    <x v="6"/>
    <n v="0.55521472304369157"/>
    <x v="4"/>
    <x v="0"/>
    <n v="0.30826338868448316"/>
    <n v="0"/>
    <n v="0"/>
  </r>
  <r>
    <n v="20260284"/>
    <s v="2026-06-02"/>
    <s v="삼성"/>
    <s v="NC"/>
    <n v="1001"/>
    <n v="11001"/>
    <n v="70.849999999999994"/>
    <n v="0.70847957486970381"/>
    <x v="6"/>
    <n v="0.70847957486970381"/>
    <x v="0"/>
    <x v="0"/>
    <n v="8.4984158268148632E-2"/>
    <n v="1"/>
    <n v="1"/>
  </r>
  <r>
    <n v="20260285"/>
    <s v="2026-06-02"/>
    <s v="KIA"/>
    <s v="롯데"/>
    <n v="2002"/>
    <n v="3001"/>
    <n v="63.88"/>
    <n v="0.63879265017936981"/>
    <x v="6"/>
    <n v="0.63879265017936981"/>
    <x v="2"/>
    <x v="0"/>
    <n v="0.1304707495644431"/>
    <n v="1"/>
    <n v="1"/>
  </r>
  <r>
    <n v="20260286"/>
    <s v="2026-06-03"/>
    <s v="두산"/>
    <s v="한화"/>
    <n v="6002"/>
    <n v="7002"/>
    <n v="17.86"/>
    <n v="0.17863080663787781"/>
    <x v="5"/>
    <n v="0.82136919336212222"/>
    <x v="0"/>
    <x v="1"/>
    <s v=""/>
    <s v="draw"/>
    <s v=""/>
  </r>
  <r>
    <n v="20260287"/>
    <s v="2026-06-03"/>
    <s v="SSG"/>
    <s v="키움"/>
    <n v="9002"/>
    <n v="10001"/>
    <n v="44.64"/>
    <n v="0.44641695889757882"/>
    <x v="5"/>
    <n v="0.55358304110242118"/>
    <x v="4"/>
    <x v="1"/>
    <n v="0.19928810119136259"/>
    <n v="1"/>
    <n v="0"/>
  </r>
  <r>
    <n v="20260288"/>
    <s v="2026-06-03"/>
    <s v="KT"/>
    <s v="LG"/>
    <n v="12001"/>
    <n v="5002"/>
    <n v="57.7"/>
    <n v="0.57704643152955104"/>
    <x v="5"/>
    <n v="0.57704643152955104"/>
    <x v="4"/>
    <x v="0"/>
    <n v="0.17888972108188675"/>
    <n v="1"/>
    <n v="1"/>
  </r>
  <r>
    <n v="20260289"/>
    <s v="2026-06-03"/>
    <s v="삼성"/>
    <s v="NC"/>
    <n v="1001"/>
    <n v="11001"/>
    <n v="53.49"/>
    <n v="0.53489736105826491"/>
    <x v="5"/>
    <n v="0.53489736105826491"/>
    <x v="3"/>
    <x v="0"/>
    <n v="0.28611518686709581"/>
    <n v="0"/>
    <n v="0"/>
  </r>
  <r>
    <n v="20260290"/>
    <s v="2026-06-03"/>
    <s v="KIA"/>
    <s v="롯데"/>
    <n v="2002"/>
    <n v="3001"/>
    <n v="47.73"/>
    <n v="0.47734316785724012"/>
    <x v="5"/>
    <n v="0.52265683214275982"/>
    <x v="3"/>
    <x v="1"/>
    <n v="0.27317016418550499"/>
    <n v="0"/>
    <n v="1"/>
  </r>
  <r>
    <n v="20260291"/>
    <s v="2026-06-04"/>
    <s v="두산"/>
    <s v="한화"/>
    <n v="6002"/>
    <n v="7002"/>
    <n v="45.32"/>
    <n v="0.45320601745870959"/>
    <x v="5"/>
    <n v="0.54679398254129041"/>
    <x v="3"/>
    <x v="1"/>
    <n v="0.20539569426078419"/>
    <n v="1"/>
    <n v="0"/>
  </r>
  <r>
    <n v="20260292"/>
    <s v="2026-06-04"/>
    <s v="SSG"/>
    <s v="키움"/>
    <n v="9002"/>
    <n v="10001"/>
    <n v="49.96"/>
    <n v="0.49959812017326782"/>
    <x v="5"/>
    <n v="0.50040187982673223"/>
    <x v="3"/>
    <x v="1"/>
    <n v="0.24959828168066289"/>
    <n v="1"/>
    <n v="0"/>
  </r>
  <r>
    <n v="20260293"/>
    <s v="2026-06-04"/>
    <s v="KT"/>
    <s v="LG"/>
    <n v="12001"/>
    <n v="5002"/>
    <n v="29.68"/>
    <n v="0.29683268939746987"/>
    <x v="5"/>
    <n v="0.70316731060253013"/>
    <x v="0"/>
    <x v="1"/>
    <n v="0.49444426669999508"/>
    <n v="0"/>
    <n v="1"/>
  </r>
  <r>
    <n v="20260294"/>
    <s v="2026-06-04"/>
    <s v="삼성"/>
    <s v="NC"/>
    <n v="1001"/>
    <n v="11001"/>
    <n v="58.27"/>
    <n v="0.58271177423858378"/>
    <x v="5"/>
    <n v="0.58271177423858378"/>
    <x v="4"/>
    <x v="0"/>
    <n v="0.33955301183627823"/>
    <n v="0"/>
    <n v="0"/>
  </r>
  <r>
    <n v="20260295"/>
    <s v="2026-06-04"/>
    <s v="KIA"/>
    <s v="롯데"/>
    <n v="2002"/>
    <n v="3001"/>
    <n v="42.31"/>
    <n v="0.42313354089072908"/>
    <x v="5"/>
    <n v="0.57686645910927092"/>
    <x v="4"/>
    <x v="1"/>
    <n v="0.1790419934267263"/>
    <n v="1"/>
    <n v="0"/>
  </r>
  <r>
    <n v="20260296"/>
    <s v="2026-06-05"/>
    <s v="두산"/>
    <s v="키움"/>
    <n v="6002"/>
    <n v="10001"/>
    <n v="52.43"/>
    <n v="0.52427175937688875"/>
    <x v="5"/>
    <n v="0.52427175937688875"/>
    <x v="3"/>
    <x v="0"/>
    <n v="0.22631735892636085"/>
    <n v="1"/>
    <n v="1"/>
  </r>
  <r>
    <n v="20260297"/>
    <s v="2026-06-05"/>
    <s v="SSG"/>
    <s v="KT"/>
    <n v="9002"/>
    <n v="12001"/>
    <n v="78.13"/>
    <n v="0.78126973126530785"/>
    <x v="5"/>
    <n v="0.78126973126530785"/>
    <x v="0"/>
    <x v="0"/>
    <n v="4.7842930460750645E-2"/>
    <n v="1"/>
    <n v="1"/>
  </r>
  <r>
    <n v="20260298"/>
    <s v="2026-06-05"/>
    <s v="KIA"/>
    <s v="삼성"/>
    <n v="2002"/>
    <n v="1001"/>
    <n v="57.45"/>
    <n v="0.57450126616367947"/>
    <x v="5"/>
    <n v="0.57450126616367947"/>
    <x v="4"/>
    <x v="0"/>
    <n v="0.18104917249631194"/>
    <n v="1"/>
    <n v="1"/>
  </r>
  <r>
    <n v="20260299"/>
    <s v="2026-06-05"/>
    <s v="롯데"/>
    <s v="한화"/>
    <n v="3001"/>
    <n v="7002"/>
    <n v="40.119999999999997"/>
    <n v="0.40115056981835812"/>
    <x v="5"/>
    <n v="0.59884943018164183"/>
    <x v="4"/>
    <x v="1"/>
    <n v="0.35862064002887711"/>
    <n v="0"/>
    <n v="1"/>
  </r>
  <r>
    <n v="20260300"/>
    <s v="2026-06-05"/>
    <s v="NC"/>
    <s v="LG"/>
    <n v="11001"/>
    <n v="5002"/>
    <n v="47.67"/>
    <n v="0.47670658193301818"/>
    <x v="5"/>
    <n v="0.52329341806698182"/>
    <x v="3"/>
    <x v="1"/>
    <n v="0.27383600139222503"/>
    <n v="0"/>
    <n v="1"/>
  </r>
  <r>
    <n v="20260302"/>
    <s v="2026-06-06"/>
    <s v="SSG"/>
    <s v="KT"/>
    <n v="9002"/>
    <n v="12001"/>
    <n v="53.2"/>
    <n v="0.53200138759200843"/>
    <x v="5"/>
    <n v="0.53200138759200843"/>
    <x v="3"/>
    <x v="0"/>
    <n v="0.2830254763998224"/>
    <n v="0"/>
    <n v="0"/>
  </r>
  <r>
    <n v="20260301"/>
    <s v="2026-06-06"/>
    <s v="두산"/>
    <s v="키움"/>
    <n v="6002"/>
    <n v="10001"/>
    <n v="43.23"/>
    <n v="0.43229028560248373"/>
    <x v="5"/>
    <n v="0.56770971439751627"/>
    <x v="4"/>
    <x v="1"/>
    <n v="0.18687489102627694"/>
    <n v="1"/>
    <n v="0"/>
  </r>
  <r>
    <n v="20260303"/>
    <s v="2026-06-06"/>
    <s v="KIA"/>
    <s v="삼성"/>
    <n v="2002"/>
    <n v="1001"/>
    <n v="45.12"/>
    <n v="0.45123517649148898"/>
    <x v="5"/>
    <n v="0.54876482350851097"/>
    <x v="3"/>
    <x v="1"/>
    <n v="0.30114283152032717"/>
    <n v="0"/>
    <n v="1"/>
  </r>
  <r>
    <n v="20260304"/>
    <s v="2026-06-06"/>
    <s v="롯데"/>
    <s v="한화"/>
    <n v="3001"/>
    <n v="7002"/>
    <n v="30.73"/>
    <n v="0.30730931242563242"/>
    <x v="5"/>
    <n v="0.69269068757436758"/>
    <x v="1"/>
    <x v="1"/>
    <n v="0.47982038865225013"/>
    <n v="0"/>
    <n v="1"/>
  </r>
  <r>
    <n v="20260305"/>
    <s v="2026-06-06"/>
    <s v="NC"/>
    <s v="LG"/>
    <n v="11001"/>
    <n v="5002"/>
    <n v="36.049999999999997"/>
    <n v="0.36050806923245249"/>
    <x v="5"/>
    <n v="0.63949193076754751"/>
    <x v="2"/>
    <x v="1"/>
    <n v="0.12996606798171076"/>
    <n v="1"/>
    <n v="0"/>
  </r>
  <r>
    <n v="20260306"/>
    <s v="2026-06-07"/>
    <s v="두산"/>
    <s v="키움"/>
    <n v="6002"/>
    <n v="10001"/>
    <n v="61.02"/>
    <n v="0.61019126829120107"/>
    <x v="5"/>
    <n v="0.61019126829120107"/>
    <x v="2"/>
    <x v="0"/>
    <n v="0.37233338389882453"/>
    <n v="0"/>
    <n v="0"/>
  </r>
  <r>
    <n v="20260307"/>
    <s v="2026-06-07"/>
    <s v="SSG"/>
    <s v="KT"/>
    <n v="9002"/>
    <n v="12001"/>
    <n v="33.51"/>
    <n v="0.33514219018647429"/>
    <x v="5"/>
    <n v="0.66485780981352571"/>
    <x v="1"/>
    <x v="1"/>
    <n v="0.1123202876429869"/>
    <n v="1"/>
    <n v="0"/>
  </r>
  <r>
    <n v="20260308"/>
    <s v="2026-06-07"/>
    <s v="KIA"/>
    <s v="삼성"/>
    <n v="2002"/>
    <n v="1001"/>
    <n v="47.84"/>
    <n v="0.47843825343884983"/>
    <x v="5"/>
    <n v="0.52156174656115017"/>
    <x v="3"/>
    <x v="1"/>
    <n v="0.2289031623536171"/>
    <n v="1"/>
    <n v="0"/>
  </r>
  <r>
    <n v="20260309"/>
    <s v="2026-06-07"/>
    <s v="롯데"/>
    <s v="한화"/>
    <n v="3001"/>
    <n v="7002"/>
    <n v="55.62"/>
    <n v="0.55616581209621574"/>
    <x v="5"/>
    <n v="0.55616581209621574"/>
    <x v="4"/>
    <x v="0"/>
    <n v="0.30932041054464315"/>
    <n v="0"/>
    <n v="0"/>
  </r>
  <r>
    <n v="20260310"/>
    <s v="2026-06-07"/>
    <s v="NC"/>
    <s v="LG"/>
    <n v="11001"/>
    <n v="5002"/>
    <n v="40.47"/>
    <n v="0.40472721791412769"/>
    <x v="5"/>
    <n v="0.59527278208587231"/>
    <x v="4"/>
    <x v="1"/>
    <n v="0.1638041209205098"/>
    <n v="1"/>
    <n v="0"/>
  </r>
  <r>
    <n v="20260311"/>
    <s v="2026-06-09"/>
    <s v="LG"/>
    <s v="SSG"/>
    <n v="5002"/>
    <n v="9002"/>
    <n v="60.75"/>
    <n v="0.60749997090173213"/>
    <x v="5"/>
    <n v="0.60749997090173213"/>
    <x v="2"/>
    <x v="0"/>
    <n v="0.15405627284214113"/>
    <n v="1"/>
    <n v="1"/>
  </r>
  <r>
    <n v="20260312"/>
    <s v="2026-06-09"/>
    <s v="키움"/>
    <s v="NC"/>
    <n v="10001"/>
    <n v="11001"/>
    <n v="63.7"/>
    <n v="0.63696183223046532"/>
    <x v="5"/>
    <n v="0.63696183223046532"/>
    <x v="2"/>
    <x v="0"/>
    <n v="0.13179671125746081"/>
    <n v="1"/>
    <n v="1"/>
  </r>
  <r>
    <n v="20260313"/>
    <s v="2026-06-09"/>
    <s v="KT"/>
    <s v="삼성"/>
    <n v="12001"/>
    <n v="1001"/>
    <n v="50"/>
    <n v="0.49999596895199783"/>
    <x v="5"/>
    <n v="0.50000403104800217"/>
    <x v="3"/>
    <x v="1"/>
    <n v="0.24999596896824716"/>
    <n v="1"/>
    <n v="0"/>
  </r>
  <r>
    <n v="20260314"/>
    <s v="2026-06-09"/>
    <s v="한화"/>
    <s v="KIA"/>
    <n v="7002"/>
    <n v="2002"/>
    <n v="57.92"/>
    <n v="0.57924402171962863"/>
    <x v="5"/>
    <n v="0.57924402171962863"/>
    <x v="4"/>
    <x v="0"/>
    <n v="0.33552363669792962"/>
    <n v="0"/>
    <n v="0"/>
  </r>
  <r>
    <n v="20260315"/>
    <s v="2026-06-09"/>
    <s v="롯데"/>
    <s v="두산"/>
    <n v="3001"/>
    <n v="6002"/>
    <n v="33.770000000000003"/>
    <n v="0.33766326095470067"/>
    <x v="5"/>
    <n v="0.66233673904529933"/>
    <x v="1"/>
    <x v="1"/>
    <n v="0.43868995588916093"/>
    <n v="0"/>
    <n v="1"/>
  </r>
  <r>
    <n v="20260316"/>
    <s v="2026-06-10"/>
    <s v="LG"/>
    <s v="SSG"/>
    <n v="5002"/>
    <n v="9002"/>
    <n v="65.349999999999994"/>
    <n v="0.65354551140984063"/>
    <x v="6"/>
    <n v="0.65354551140984063"/>
    <x v="1"/>
    <x v="0"/>
    <n v="0.12003071266426887"/>
    <n v="1"/>
    <n v="1"/>
  </r>
  <r>
    <n v="20260317"/>
    <s v="2026-06-10"/>
    <s v="키움"/>
    <s v="NC"/>
    <n v="10001"/>
    <n v="11001"/>
    <n v="30.78"/>
    <n v="0.30776578031931578"/>
    <x v="6"/>
    <n v="0.69223421968068422"/>
    <x v="1"/>
    <x v="1"/>
    <n v="0.47918821489692576"/>
    <n v="0"/>
    <n v="1"/>
  </r>
  <r>
    <n v="20260318"/>
    <s v="2026-06-10"/>
    <s v="KT"/>
    <s v="삼성"/>
    <n v="12001"/>
    <n v="1001"/>
    <n v="36.549999999999997"/>
    <n v="0.36546076989503179"/>
    <x v="6"/>
    <n v="0.63453923010496815"/>
    <x v="2"/>
    <x v="1"/>
    <n v="0.13356157433226942"/>
    <n v="1"/>
    <n v="0"/>
  </r>
  <r>
    <n v="20260319"/>
    <s v="2026-06-10"/>
    <s v="한화"/>
    <s v="KIA"/>
    <n v="7002"/>
    <n v="2002"/>
    <n v="44.2"/>
    <n v="0.44199124718209132"/>
    <x v="6"/>
    <n v="0.55800875281790874"/>
    <x v="4"/>
    <x v="1"/>
    <n v="0.1953562625855805"/>
    <n v="1"/>
    <n v="0"/>
  </r>
  <r>
    <n v="20260320"/>
    <s v="2026-06-10"/>
    <s v="롯데"/>
    <s v="두산"/>
    <n v="3001"/>
    <n v="6002"/>
    <n v="44.61"/>
    <n v="0.44611647607524041"/>
    <x v="6"/>
    <n v="0.55388352392475959"/>
    <x v="4"/>
    <x v="1"/>
    <n v="0.19901991022579055"/>
    <n v="1"/>
    <n v="0"/>
  </r>
  <r>
    <n v="20260321"/>
    <s v="2026-06-11"/>
    <s v="LG"/>
    <s v="SSG"/>
    <n v="5002"/>
    <n v="9002"/>
    <n v="43.74"/>
    <n v="0.43737937806624172"/>
    <x v="6"/>
    <n v="0.56262062193375828"/>
    <x v="4"/>
    <x v="1"/>
    <n v="0.19130072035761242"/>
    <n v="1"/>
    <n v="0"/>
  </r>
  <r>
    <n v="20260322"/>
    <s v="2026-06-11"/>
    <s v="키움"/>
    <s v="NC"/>
    <n v="10001"/>
    <n v="11001"/>
    <n v="30.15"/>
    <n v="0.30151046637473172"/>
    <x v="6"/>
    <n v="0.69848953362526833"/>
    <x v="1"/>
    <x v="1"/>
    <n v="0.48788762858404489"/>
    <n v="0"/>
    <n v="1"/>
  </r>
  <r>
    <n v="20260323"/>
    <s v="2026-06-11"/>
    <s v="KT"/>
    <s v="삼성"/>
    <n v="12001"/>
    <n v="1001"/>
    <n v="37.049999999999997"/>
    <n v="0.37046651147022952"/>
    <x v="6"/>
    <n v="0.62953348852977054"/>
    <x v="2"/>
    <x v="1"/>
    <n v="0.39631241318046273"/>
    <n v="0"/>
    <n v="1"/>
  </r>
  <r>
    <n v="20260324"/>
    <s v="2026-06-11"/>
    <s v="한화"/>
    <s v="KIA"/>
    <n v="7002"/>
    <n v="2002"/>
    <n v="42.32"/>
    <n v="0.42323993602170229"/>
    <x v="6"/>
    <n v="0.57676006397829771"/>
    <x v="4"/>
    <x v="1"/>
    <n v="0.17913204344365466"/>
    <n v="1"/>
    <n v="0"/>
  </r>
  <r>
    <n v="20260325"/>
    <s v="2026-06-11"/>
    <s v="롯데"/>
    <s v="두산"/>
    <n v="3001"/>
    <n v="6002"/>
    <n v="52.52"/>
    <n v="0.52520136019777752"/>
    <x v="6"/>
    <n v="0.52520136019777752"/>
    <x v="3"/>
    <x v="0"/>
    <n v="0.27583646875359563"/>
    <n v="0"/>
    <n v="0"/>
  </r>
  <r>
    <n v="20260326"/>
    <s v="2026-06-12"/>
    <s v="LG"/>
    <s v="롯데"/>
    <n v="5002"/>
    <n v="3001"/>
    <n v="59.76"/>
    <n v="0.59761603854801848"/>
    <x v="6"/>
    <n v="0.59761603854801848"/>
    <x v="4"/>
    <x v="0"/>
    <n v="0.35714492952982668"/>
    <n v="0"/>
    <n v="0"/>
  </r>
  <r>
    <n v="20260327"/>
    <s v="2026-06-12"/>
    <s v="키움"/>
    <s v="한화"/>
    <n v="10001"/>
    <n v="7002"/>
    <n v="38.6"/>
    <n v="0.38597572523045409"/>
    <x v="6"/>
    <n v="0.61402427476954591"/>
    <x v="2"/>
    <x v="1"/>
    <n v="0.14897726046717499"/>
    <n v="1"/>
    <n v="0"/>
  </r>
  <r>
    <n v="20260328"/>
    <s v="2026-06-12"/>
    <s v="KT"/>
    <s v="NC"/>
    <n v="12001"/>
    <n v="11001"/>
    <n v="54.79"/>
    <n v="0.54789702008332375"/>
    <x v="6"/>
    <n v="0.54789702008332375"/>
    <x v="3"/>
    <x v="0"/>
    <n v="0.20439710444953857"/>
    <n v="1"/>
    <n v="1"/>
  </r>
  <r>
    <n v="20260329"/>
    <s v="2026-06-12"/>
    <s v="삼성"/>
    <s v="SSG"/>
    <n v="1001"/>
    <n v="9002"/>
    <n v="60.17"/>
    <n v="0.60173416716310735"/>
    <x v="6"/>
    <n v="0.60173416716310735"/>
    <x v="2"/>
    <x v="0"/>
    <n v="0.36208400793147844"/>
    <n v="0"/>
    <n v="0"/>
  </r>
  <r>
    <n v="20260330"/>
    <s v="2026-06-12"/>
    <s v="KIA"/>
    <s v="두산"/>
    <n v="2002"/>
    <n v="6002"/>
    <n v="45.49"/>
    <n v="0.45487382153639028"/>
    <x v="6"/>
    <n v="0.54512617846360967"/>
    <x v="3"/>
    <x v="1"/>
    <n v="0.29716255044633921"/>
    <n v="0"/>
    <n v="1"/>
  </r>
  <r>
    <n v="20260331"/>
    <s v="2026-06-13"/>
    <s v="LG"/>
    <s v="롯데"/>
    <n v="5002"/>
    <n v="3001"/>
    <n v="62.9"/>
    <n v="0.62897155469632138"/>
    <x v="5"/>
    <n v="0.62897155469632138"/>
    <x v="2"/>
    <x v="0"/>
    <n v="0.13766210722446484"/>
    <n v="1"/>
    <n v="1"/>
  </r>
  <r>
    <n v="20260332"/>
    <s v="2026-06-13"/>
    <s v="키움"/>
    <s v="한화"/>
    <n v="10001"/>
    <n v="7002"/>
    <n v="71.09"/>
    <n v="0.71090843081137656"/>
    <x v="5"/>
    <n v="0.71090843081137656"/>
    <x v="0"/>
    <x v="0"/>
    <n v="8.3573935375940656E-2"/>
    <n v="1"/>
    <n v="1"/>
  </r>
  <r>
    <n v="20260333"/>
    <s v="2026-06-13"/>
    <s v="KT"/>
    <s v="NC"/>
    <n v="12001"/>
    <n v="11001"/>
    <n v="56.23"/>
    <n v="0.56226179618920169"/>
    <x v="5"/>
    <n v="0.56226179618920169"/>
    <x v="4"/>
    <x v="0"/>
    <n v="0.191614735075504"/>
    <n v="1"/>
    <n v="1"/>
  </r>
  <r>
    <n v="20260334"/>
    <s v="2026-06-13"/>
    <s v="삼성"/>
    <s v="SSG"/>
    <n v="1001"/>
    <n v="9002"/>
    <n v="66.430000000000007"/>
    <n v="0.66433910668820984"/>
    <x v="5"/>
    <n v="0.66433910668820984"/>
    <x v="1"/>
    <x v="0"/>
    <n v="0.11266823529886898"/>
    <n v="1"/>
    <n v="1"/>
  </r>
  <r>
    <n v="20260335"/>
    <s v="2026-06-13"/>
    <s v="KIA"/>
    <s v="두산"/>
    <n v="2002"/>
    <n v="6002"/>
    <n v="40.49"/>
    <n v="0.40485576833285852"/>
    <x v="5"/>
    <n v="0.59514423166714148"/>
    <x v="4"/>
    <x v="1"/>
    <n v="0.16390819315238922"/>
    <n v="1"/>
    <n v="0"/>
  </r>
  <r>
    <n v="20260337"/>
    <s v="2026-06-14"/>
    <s v="키움"/>
    <s v="한화"/>
    <n v="10001"/>
    <n v="7002"/>
    <n v="52.89"/>
    <n v="0.52887079230870593"/>
    <x v="5"/>
    <n v="0.52887079230870593"/>
    <x v="3"/>
    <x v="0"/>
    <n v="0.2219627303398265"/>
    <n v="1"/>
    <n v="1"/>
  </r>
  <r>
    <n v="20260336"/>
    <s v="2026-06-14"/>
    <s v="LG"/>
    <s v="롯데"/>
    <n v="5002"/>
    <n v="3001"/>
    <n v="45.78"/>
    <n v="0.45781149385617309"/>
    <x v="5"/>
    <n v="0.54218850614382696"/>
    <x v="3"/>
    <x v="1"/>
    <n v="0.20959136390682076"/>
    <n v="1"/>
    <n v="0"/>
  </r>
  <r>
    <n v="20260338"/>
    <s v="2026-06-14"/>
    <s v="KT"/>
    <s v="NC"/>
    <n v="12001"/>
    <n v="11001"/>
    <n v="40.9"/>
    <n v="0.40901752981008932"/>
    <x v="5"/>
    <n v="0.59098247018991068"/>
    <x v="4"/>
    <x v="1"/>
    <s v=""/>
    <s v="cancel"/>
    <s v=""/>
  </r>
  <r>
    <n v="20260339"/>
    <s v="2026-06-14"/>
    <s v="삼성"/>
    <s v="SSG"/>
    <n v="1001"/>
    <n v="9002"/>
    <n v="65.05"/>
    <n v="0.65051635182502343"/>
    <x v="5"/>
    <n v="0.65051635182502343"/>
    <x v="1"/>
    <x v="0"/>
    <n v="0.12213882034169081"/>
    <n v="1"/>
    <n v="1"/>
  </r>
  <r>
    <n v="20260340"/>
    <s v="2026-06-14"/>
    <s v="KIA"/>
    <s v="두산"/>
    <n v="2002"/>
    <n v="6002"/>
    <n v="26.38"/>
    <n v="0.26383340257816651"/>
    <x v="5"/>
    <n v="0.73616659742183344"/>
    <x v="0"/>
    <x v="1"/>
    <n v="0.54194125915963975"/>
    <n v="0"/>
    <n v="1"/>
  </r>
  <r>
    <n v="20260341"/>
    <s v="2026-06-16"/>
    <s v="두산"/>
    <s v="KT"/>
    <n v="6002"/>
    <n v="12001"/>
    <n v="43.58"/>
    <n v="0.43581676064114971"/>
    <x v="5"/>
    <n v="0.56418323935885029"/>
    <x v="4"/>
    <x v="1"/>
    <n v="0.31830272757344574"/>
    <n v="0"/>
    <n v="1"/>
  </r>
  <r>
    <n v="20260342"/>
    <s v="2026-06-16"/>
    <s v="SSG"/>
    <s v="롯데"/>
    <n v="9002"/>
    <n v="3001"/>
    <n v="25.81"/>
    <n v="0.25806454572715992"/>
    <x v="5"/>
    <n v="0.74193545427284002"/>
    <x v="0"/>
    <x v="1"/>
    <n v="0.55046821830704551"/>
    <n v="0"/>
    <n v="1"/>
  </r>
  <r>
    <n v="20260343"/>
    <s v="2026-06-16"/>
    <s v="삼성"/>
    <s v="키움"/>
    <n v="1001"/>
    <n v="10001"/>
    <n v="61.15"/>
    <n v="0.61145912002160585"/>
    <x v="5"/>
    <n v="0.61145912002160585"/>
    <x v="2"/>
    <x v="0"/>
    <n v="0.15096401541438489"/>
    <n v="1"/>
    <n v="1"/>
  </r>
  <r>
    <n v="20260344"/>
    <s v="2026-06-16"/>
    <s v="KIA"/>
    <s v="LG"/>
    <n v="2002"/>
    <n v="5002"/>
    <n v="34.56"/>
    <n v="0.34557889745171988"/>
    <x v="5"/>
    <n v="0.65442110254828012"/>
    <x v="1"/>
    <x v="1"/>
    <n v="0.42826697946050657"/>
    <n v="0"/>
    <n v="1"/>
  </r>
  <r>
    <n v="20260345"/>
    <s v="2026-06-16"/>
    <s v="NC"/>
    <s v="한화"/>
    <n v="11001"/>
    <n v="7002"/>
    <n v="45.25"/>
    <n v="0.45249425280281569"/>
    <x v="5"/>
    <n v="0.54750574719718426"/>
    <x v="3"/>
    <x v="1"/>
    <n v="0.20475104881957853"/>
    <n v="1"/>
    <n v="0"/>
  </r>
  <r>
    <n v="20260346"/>
    <s v="2026-06-17"/>
    <s v="두산"/>
    <s v="KT"/>
    <n v="6002"/>
    <n v="12001"/>
    <n v="26.81"/>
    <n v="0.26810080548271842"/>
    <x v="5"/>
    <n v="0.73189919451728158"/>
    <x v="0"/>
    <x v="1"/>
    <n v="0.53567643093504558"/>
    <n v="0"/>
    <n v="1"/>
  </r>
  <r>
    <n v="20260347"/>
    <s v="2026-06-17"/>
    <s v="SSG"/>
    <s v="롯데"/>
    <n v="9002"/>
    <n v="3001"/>
    <n v="44.86"/>
    <n v="0.44861984176741893"/>
    <x v="5"/>
    <n v="0.55138015823258102"/>
    <x v="4"/>
    <x v="1"/>
    <n v="0.30402007889258609"/>
    <n v="0"/>
    <n v="1"/>
  </r>
  <r>
    <n v="20260348"/>
    <s v="2026-06-17"/>
    <s v="삼성"/>
    <s v="키움"/>
    <n v="1001"/>
    <n v="10001"/>
    <n v="47.39"/>
    <n v="0.47394178870492237"/>
    <x v="5"/>
    <n v="0.52605821129507757"/>
    <x v="3"/>
    <x v="1"/>
    <n v="0.22462081908082135"/>
    <n v="1"/>
    <n v="0"/>
  </r>
  <r>
    <n v="20260349"/>
    <s v="2026-06-17"/>
    <s v="KIA"/>
    <s v="LG"/>
    <n v="2002"/>
    <n v="5002"/>
    <n v="54.62"/>
    <n v="0.54624363411879606"/>
    <x v="5"/>
    <n v="0.54624363411879606"/>
    <x v="3"/>
    <x v="0"/>
    <n v="0.20589483957771701"/>
    <n v="1"/>
    <n v="1"/>
  </r>
  <r>
    <n v="20260350"/>
    <s v="2026-06-17"/>
    <s v="NC"/>
    <s v="한화"/>
    <n v="11001"/>
    <n v="7002"/>
    <n v="58.32"/>
    <n v="0.58316131165899454"/>
    <x v="5"/>
    <n v="0.58316131165899454"/>
    <x v="4"/>
    <x v="0"/>
    <n v="0.17375449209784988"/>
    <n v="1"/>
    <n v="1"/>
  </r>
  <r>
    <n v="20260351"/>
    <s v="2026-06-18"/>
    <s v="두산"/>
    <s v="KT"/>
    <n v="6002"/>
    <n v="12001"/>
    <n v="47.74"/>
    <n v="0.4773622423977894"/>
    <x v="5"/>
    <n v="0.52263775760221054"/>
    <x v="3"/>
    <x v="1"/>
    <n v="0.22787471046704591"/>
    <n v="1"/>
    <n v="0"/>
  </r>
  <r>
    <n v="20260352"/>
    <s v="2026-06-18"/>
    <s v="SSG"/>
    <s v="롯데"/>
    <n v="9002"/>
    <n v="3001"/>
    <n v="40.83"/>
    <n v="0.40833855162338928"/>
    <x v="5"/>
    <n v="0.59166144837661072"/>
    <x v="4"/>
    <x v="1"/>
    <s v=""/>
    <s v="draw"/>
    <s v=""/>
  </r>
  <r>
    <n v="20260353"/>
    <s v="2026-06-18"/>
    <s v="삼성"/>
    <s v="키움"/>
    <n v="1001"/>
    <n v="10001"/>
    <n v="42.52"/>
    <n v="0.42520826657848559"/>
    <x v="5"/>
    <n v="0.57479173342151446"/>
    <x v="4"/>
    <x v="1"/>
    <n v="0.18080206996668041"/>
    <n v="1"/>
    <n v="0"/>
  </r>
  <r>
    <n v="20260354"/>
    <s v="2026-06-18"/>
    <s v="KIA"/>
    <s v="LG"/>
    <n v="2002"/>
    <n v="5002"/>
    <n v="36.950000000000003"/>
    <n v="0.36946391653962191"/>
    <x v="5"/>
    <n v="0.63053608346037815"/>
    <x v="2"/>
    <x v="1"/>
    <n v="0.13650358562479667"/>
    <n v="1"/>
    <n v="0"/>
  </r>
  <r>
    <n v="20260355"/>
    <s v="2026-06-18"/>
    <s v="NC"/>
    <s v="한화"/>
    <n v="11001"/>
    <n v="7002"/>
    <n v="47.26"/>
    <n v="0.47257079461173518"/>
    <x v="5"/>
    <n v="0.52742920538826477"/>
    <x v="3"/>
    <x v="1"/>
    <n v="0.22332315591996685"/>
    <n v="1"/>
    <n v="0"/>
  </r>
  <r>
    <n v="20260356"/>
    <s v="2026-06-19"/>
    <s v="LG"/>
    <s v="두산"/>
    <n v="5002"/>
    <n v="6002"/>
    <n v="28.43"/>
    <n v="0.28433612300652722"/>
    <x v="5"/>
    <n v="0.71566387699347278"/>
    <x v="0"/>
    <x v="1"/>
    <n v="8.0847030846382978E-2"/>
    <n v="1"/>
    <n v="0"/>
  </r>
  <r>
    <n v="20260357"/>
    <s v="2026-06-19"/>
    <s v="키움"/>
    <s v="롯데"/>
    <n v="10001"/>
    <n v="3001"/>
    <n v="72.33"/>
    <n v="0.72334026809921803"/>
    <x v="5"/>
    <n v="0.72334026809921803"/>
    <x v="0"/>
    <x v="0"/>
    <n v="0.52322114345384862"/>
    <n v="0"/>
    <n v="0"/>
  </r>
  <r>
    <n v="20260358"/>
    <s v="2026-06-19"/>
    <s v="KT"/>
    <s v="KIA"/>
    <n v="12001"/>
    <n v="2002"/>
    <n v="47.5"/>
    <n v="0.47503191155582808"/>
    <x v="5"/>
    <n v="0.52496808844417187"/>
    <x v="3"/>
    <x v="1"/>
    <n v="0.27559149388472787"/>
    <n v="0"/>
    <n v="1"/>
  </r>
  <r>
    <n v="20260359"/>
    <s v="2026-06-19"/>
    <s v="한화"/>
    <s v="삼성"/>
    <n v="7002"/>
    <n v="1001"/>
    <n v="33.32"/>
    <n v="0.33322303044459323"/>
    <x v="5"/>
    <n v="0.66677696955540677"/>
    <x v="1"/>
    <x v="1"/>
    <s v=""/>
    <s v="draw"/>
    <s v=""/>
  </r>
  <r>
    <n v="20260360"/>
    <s v="2026-06-19"/>
    <s v="NC"/>
    <s v="SSG"/>
    <n v="11001"/>
    <n v="9002"/>
    <n v="59.09"/>
    <n v="0.59091559562576357"/>
    <x v="5"/>
    <n v="0.59091559562576357"/>
    <x v="4"/>
    <x v="0"/>
    <n v="0.1673500499022238"/>
    <n v="1"/>
    <n v="1"/>
  </r>
  <r>
    <n v="20260361"/>
    <s v="2026-06-20"/>
    <s v="LG"/>
    <s v="두산"/>
    <n v="5002"/>
    <n v="6002"/>
    <n v="44.36"/>
    <n v="0.44358130696049858"/>
    <x v="5"/>
    <n v="0.55641869303950142"/>
    <x v="4"/>
    <x v="1"/>
    <n v="0.19676437588478407"/>
    <n v="1"/>
    <n v="0"/>
  </r>
  <r>
    <n v="20260362"/>
    <s v="2026-06-20"/>
    <s v="키움"/>
    <s v="롯데"/>
    <n v="10001"/>
    <n v="3001"/>
    <n v="58.67"/>
    <n v="0.5867006295667262"/>
    <x v="5"/>
    <n v="0.5867006295667262"/>
    <x v="4"/>
    <x v="0"/>
    <n v="0.34421762873399286"/>
    <n v="0"/>
    <n v="0"/>
  </r>
  <r>
    <n v="20260363"/>
    <s v="2026-06-20"/>
    <s v="KT"/>
    <s v="KIA"/>
    <n v="12001"/>
    <n v="2002"/>
    <n v="51.77"/>
    <n v="0.51765238728605945"/>
    <x v="5"/>
    <n v="0.51765238728605945"/>
    <x v="3"/>
    <x v="0"/>
    <n v="0.23265921949083759"/>
    <n v="1"/>
    <n v="1"/>
  </r>
  <r>
    <n v="20260364"/>
    <s v="2026-06-20"/>
    <s v="한화"/>
    <s v="삼성"/>
    <n v="7002"/>
    <n v="1001"/>
    <n v="52.18"/>
    <n v="0.52177005583375269"/>
    <x v="5"/>
    <n v="0.52177005583375269"/>
    <x v="3"/>
    <x v="0"/>
    <n v="0.22870387949725202"/>
    <n v="1"/>
    <n v="1"/>
  </r>
  <r>
    <n v="20260365"/>
    <s v="2026-06-20"/>
    <s v="NC"/>
    <s v="SSG"/>
    <n v="11001"/>
    <n v="9002"/>
    <n v="82.79"/>
    <n v="0.82788980736794648"/>
    <x v="5"/>
    <n v="0.82788980736794648"/>
    <x v="0"/>
    <x v="0"/>
    <n v="0.68540153314373553"/>
    <n v="0"/>
    <n v="0"/>
  </r>
  <r>
    <n v="20260367"/>
    <s v="2026-06-21"/>
    <s v="키움"/>
    <s v="롯데"/>
    <n v="10001"/>
    <n v="3001"/>
    <n v="46.69"/>
    <n v="0.46690728099991857"/>
    <x v="5"/>
    <n v="0.53309271900008137"/>
    <x v="3"/>
    <x v="1"/>
    <n v="0.28418784705089972"/>
    <n v="0"/>
    <n v="1"/>
  </r>
  <r>
    <n v="20260366"/>
    <s v="2026-06-21"/>
    <s v="LG"/>
    <s v="두산"/>
    <n v="5002"/>
    <n v="6002"/>
    <n v="53.05"/>
    <n v="0.53050852521951797"/>
    <x v="5"/>
    <n v="0.53050852521951797"/>
    <x v="3"/>
    <x v="0"/>
    <n v="0.22042224489155199"/>
    <n v="1"/>
    <n v="1"/>
  </r>
  <r>
    <n v="20260368"/>
    <s v="2026-06-21"/>
    <s v="KT"/>
    <s v="KIA"/>
    <n v="12001"/>
    <n v="2002"/>
    <n v="60.15"/>
    <n v="0.60153073805128332"/>
    <x v="5"/>
    <n v="0.60153073805128332"/>
    <x v="2"/>
    <x v="0"/>
    <n v="0.36183922882052161"/>
    <n v="0"/>
    <n v="0"/>
  </r>
  <r>
    <n v="20260369"/>
    <s v="2026-06-21"/>
    <s v="한화"/>
    <s v="삼성"/>
    <n v="7002"/>
    <n v="1001"/>
    <n v="49.63"/>
    <n v="0.49625876944637198"/>
    <x v="5"/>
    <n v="0.50374123055362796"/>
    <x v="3"/>
    <x v="1"/>
    <n v="0.25375522735968337"/>
    <n v="0"/>
    <n v="1"/>
  </r>
  <r>
    <n v="20260370"/>
    <s v="2026-06-21"/>
    <s v="NC"/>
    <s v="SSG"/>
    <n v="11001"/>
    <n v="9002"/>
    <n v="56.9"/>
    <n v="0.56896134798612996"/>
    <x v="5"/>
    <n v="0.56896134798612996"/>
    <x v="4"/>
    <x v="0"/>
    <n v="0.32371701550219406"/>
    <n v="0"/>
    <n v="0"/>
  </r>
  <r>
    <n v="20260371"/>
    <s v="2026-06-23"/>
    <s v="LG"/>
    <s v="삼성"/>
    <n v="5002"/>
    <n v="1001"/>
    <n v="45.54"/>
    <n v="0.45539587034450463"/>
    <x v="5"/>
    <n v="0.54460412965549532"/>
    <x v="3"/>
    <x v="1"/>
    <n v="0.20738539872682893"/>
    <n v="1"/>
    <n v="0"/>
  </r>
  <r>
    <n v="20260372"/>
    <s v="2026-06-23"/>
    <s v="키움"/>
    <s v="KIA"/>
    <n v="10001"/>
    <n v="2002"/>
    <n v="40.159999999999997"/>
    <n v="0.40156292490768603"/>
    <x v="5"/>
    <n v="0.59843707509231403"/>
    <x v="4"/>
    <x v="1"/>
    <n v="0.35812693284504388"/>
    <n v="0"/>
    <n v="1"/>
  </r>
  <r>
    <n v="20260373"/>
    <s v="2026-06-23"/>
    <s v="KT"/>
    <s v="SSG"/>
    <n v="12001"/>
    <n v="9002"/>
    <n v="66.33"/>
    <n v="0.66329279158122212"/>
    <x v="5"/>
    <n v="0.66329279158122212"/>
    <x v="1"/>
    <x v="0"/>
    <n v="0.11337174420116633"/>
    <n v="1"/>
    <n v="1"/>
  </r>
  <r>
    <n v="20260374"/>
    <s v="2026-06-23"/>
    <s v="한화"/>
    <s v="두산"/>
    <n v="7002"/>
    <n v="6002"/>
    <n v="82.13"/>
    <n v="0.82126101188501188"/>
    <x v="5"/>
    <n v="0.82126101188501188"/>
    <x v="0"/>
    <x v="0"/>
    <n v="3.1947625872369864E-2"/>
    <n v="1"/>
    <n v="1"/>
  </r>
  <r>
    <n v="20260375"/>
    <s v="2026-06-23"/>
    <s v="롯데"/>
    <s v="NC"/>
    <n v="3001"/>
    <n v="11001"/>
    <n v="39.229999999999997"/>
    <n v="0.392278922212418"/>
    <x v="5"/>
    <n v="0.607721077787582"/>
    <x v="2"/>
    <x v="1"/>
    <n v="0.15388275281213629"/>
    <n v="1"/>
    <n v="0"/>
  </r>
  <r>
    <n v="20260376"/>
    <s v="2026-06-24"/>
    <s v="LG"/>
    <s v="삼성"/>
    <n v="5002"/>
    <n v="1001"/>
    <n v="46.9"/>
    <n v="0.46897678414543981"/>
    <x v="5"/>
    <n v="0.53102321585456025"/>
    <x v="3"/>
    <x v="1"/>
    <n v="0.21993922406739838"/>
    <n v="1"/>
    <n v="0"/>
  </r>
  <r>
    <n v="20260377"/>
    <s v="2026-06-24"/>
    <s v="키움"/>
    <s v="KIA"/>
    <n v="10001"/>
    <n v="2002"/>
    <n v="66.290000000000006"/>
    <n v="0.66289163921308558"/>
    <x v="5"/>
    <n v="0.66289163921308558"/>
    <x v="1"/>
    <x v="0"/>
    <n v="0.43942532533861162"/>
    <n v="0"/>
    <n v="0"/>
  </r>
  <r>
    <n v="20260378"/>
    <s v="2026-06-24"/>
    <s v="KT"/>
    <s v="SSG"/>
    <n v="12001"/>
    <n v="9002"/>
    <n v="63.5"/>
    <n v="0.6349878062866734"/>
    <x v="5"/>
    <n v="0.6349878062866734"/>
    <x v="2"/>
    <x v="0"/>
    <n v="0.40320951413276185"/>
    <n v="0"/>
    <n v="0"/>
  </r>
  <r>
    <n v="20260379"/>
    <s v="2026-06-24"/>
    <s v="한화"/>
    <s v="두산"/>
    <n v="7002"/>
    <n v="6002"/>
    <n v="42.19"/>
    <n v="0.42189153197338131"/>
    <x v="5"/>
    <n v="0.57810846802661864"/>
    <x v="4"/>
    <x v="1"/>
    <n v="0.33420940080408396"/>
    <n v="0"/>
    <n v="1"/>
  </r>
  <r>
    <n v="20260380"/>
    <s v="2026-06-24"/>
    <s v="롯데"/>
    <s v="NC"/>
    <n v="3001"/>
    <n v="11001"/>
    <n v="58.02"/>
    <n v="0.58017566547137833"/>
    <x v="5"/>
    <n v="0.58017566547137833"/>
    <x v="4"/>
    <x v="0"/>
    <n v="0.17625247186240003"/>
    <n v="1"/>
    <n v="1"/>
  </r>
  <r>
    <n v="20260381"/>
    <s v="2026-06-25"/>
    <s v="LG"/>
    <s v="삼성"/>
    <n v="5002"/>
    <n v="1001"/>
    <n v="36.549999999999997"/>
    <n v="0.36553793794632677"/>
    <x v="5"/>
    <n v="0.63446206205367317"/>
    <x v="2"/>
    <x v="1"/>
    <n v="0.40254210818539904"/>
    <n v="0"/>
    <n v="1"/>
  </r>
  <r>
    <n v="20260382"/>
    <s v="2026-06-25"/>
    <s v="키움"/>
    <s v="KIA"/>
    <n v="10001"/>
    <n v="2002"/>
    <n v="50"/>
    <n v="0.50000817568268907"/>
    <x v="5"/>
    <n v="0.50000817568268907"/>
    <x v="3"/>
    <x v="0"/>
    <n v="0.25000817574953088"/>
    <n v="0"/>
    <n v="0"/>
  </r>
  <r>
    <n v="20260383"/>
    <s v="2026-06-25"/>
    <s v="KT"/>
    <s v="SSG"/>
    <n v="12001"/>
    <n v="9002"/>
    <n v="68.010000000000005"/>
    <n v="0.68010263967340912"/>
    <x v="5"/>
    <n v="0.68010263967340912"/>
    <x v="1"/>
    <x v="0"/>
    <n v="0.10233432114392073"/>
    <n v="1"/>
    <n v="1"/>
  </r>
  <r>
    <n v="20260384"/>
    <s v="2026-06-25"/>
    <s v="한화"/>
    <s v="두산"/>
    <n v="7002"/>
    <n v="6002"/>
    <n v="34.9"/>
    <n v="0.34898898097920977"/>
    <x v="5"/>
    <n v="0.65101101902079028"/>
    <x v="1"/>
    <x v="1"/>
    <n v="0.42381534688648775"/>
    <n v="0"/>
    <n v="1"/>
  </r>
  <r>
    <n v="20260385"/>
    <s v="2026-06-25"/>
    <s v="롯데"/>
    <s v="NC"/>
    <n v="3001"/>
    <n v="11001"/>
    <n v="52.13"/>
    <n v="0.52125181925958108"/>
    <x v="5"/>
    <n v="0.52125181925958108"/>
    <x v="3"/>
    <x v="0"/>
    <n v="0.27170345908142296"/>
    <n v="0"/>
    <n v="0"/>
  </r>
  <r>
    <n v="20260386"/>
    <s v="2026-06-26"/>
    <s v="두산"/>
    <s v="KIA"/>
    <n v="6002"/>
    <n v="2002"/>
    <n v="60.81"/>
    <n v="0.60810549198591124"/>
    <x v="5"/>
    <n v="0.60810549198591124"/>
    <x v="2"/>
    <x v="0"/>
    <n v="0.15358130541160467"/>
    <n v="1"/>
    <n v="1"/>
  </r>
  <r>
    <n v="20260387"/>
    <s v="2026-06-26"/>
    <s v="SSG"/>
    <s v="한화"/>
    <n v="9002"/>
    <n v="7002"/>
    <n v="46.47"/>
    <n v="0.4646658054906409"/>
    <x v="5"/>
    <n v="0.53533419450935904"/>
    <x v="3"/>
    <x v="1"/>
    <n v="0.28658269981098428"/>
    <n v="0"/>
    <n v="1"/>
  </r>
  <r>
    <n v="20260388"/>
    <s v="2026-06-26"/>
    <s v="삼성"/>
    <s v="KT"/>
    <n v="1001"/>
    <n v="12001"/>
    <n v="44.66"/>
    <n v="0.44658187789933179"/>
    <x v="5"/>
    <n v="0.55341812210066821"/>
    <x v="4"/>
    <x v="1"/>
    <n v="0.19943537366809369"/>
    <n v="1"/>
    <n v="0"/>
  </r>
  <r>
    <n v="20260389"/>
    <s v="2026-06-26"/>
    <s v="롯데"/>
    <s v="LG"/>
    <n v="3001"/>
    <n v="5002"/>
    <n v="45.96"/>
    <n v="0.45962713050605652"/>
    <x v="5"/>
    <n v="0.54037286949394348"/>
    <x v="3"/>
    <x v="1"/>
    <n v="0.2112570990972315"/>
    <n v="1"/>
    <n v="0"/>
  </r>
  <r>
    <n v="20260390"/>
    <s v="2026-06-26"/>
    <s v="NC"/>
    <s v="키움"/>
    <n v="11001"/>
    <n v="10001"/>
    <n v="54.87"/>
    <n v="0.54872140038383022"/>
    <x v="5"/>
    <n v="0.54872140038383022"/>
    <x v="3"/>
    <x v="0"/>
    <n v="0.20365237447153128"/>
    <n v="1"/>
    <n v="1"/>
  </r>
  <r>
    <n v="20260401"/>
    <s v="2026-06-30"/>
    <s v="두산"/>
    <s v="롯데"/>
    <n v="6002"/>
    <n v="3001"/>
    <n v="59.09"/>
    <n v="0.59085390608321264"/>
    <x v="5"/>
    <n v="0.59085390608321264"/>
    <x v="4"/>
    <x v="0"/>
    <n v="0.16740052616736459"/>
    <n v="1"/>
    <n v="1"/>
  </r>
  <r>
    <n v="20260402"/>
    <s v="2026-06-30"/>
    <s v="키움"/>
    <s v="LG"/>
    <n v="10001"/>
    <n v="5002"/>
    <n v="55.26"/>
    <n v="0.55261655131179421"/>
    <x v="5"/>
    <n v="0.55261655131179421"/>
    <x v="4"/>
    <x v="0"/>
    <n v="0.20015195016015247"/>
    <n v="1"/>
    <n v="1"/>
  </r>
  <r>
    <n v="20260403"/>
    <s v="2026-06-30"/>
    <s v="한화"/>
    <s v="KT"/>
    <n v="7002"/>
    <n v="12001"/>
    <n v="55.89"/>
    <n v="0.55891714276602733"/>
    <x v="5"/>
    <n v="0.55891714276602733"/>
    <x v="4"/>
    <x v="0"/>
    <s v=""/>
    <s v="cancel"/>
    <s v=""/>
  </r>
  <r>
    <n v="20260404"/>
    <s v="2026-06-30"/>
    <s v="KIA"/>
    <s v="SSG"/>
    <n v="2002"/>
    <n v="9002"/>
    <n v="75.5"/>
    <n v="0.75500835148216172"/>
    <x v="5"/>
    <n v="0.75500835148216172"/>
    <x v="0"/>
    <x v="0"/>
    <n v="6.0020907843488014E-2"/>
    <n v="1"/>
    <n v="1"/>
  </r>
  <r>
    <n v="20260405"/>
    <s v="2026-06-30"/>
    <s v="NC"/>
    <s v="삼성"/>
    <n v="11001"/>
    <n v="1001"/>
    <n v="35.81"/>
    <n v="0.35814860755641431"/>
    <x v="5"/>
    <n v="0.64185139244358569"/>
    <x v="2"/>
    <x v="1"/>
    <n v="0.41197320998176984"/>
    <n v="0"/>
    <n v="1"/>
  </r>
  <r>
    <n v="20260406"/>
    <s v="2026-07-01"/>
    <s v="두산"/>
    <s v="롯데"/>
    <n v="6002"/>
    <n v="3001"/>
    <n v="57.96"/>
    <n v="0.57956315704946459"/>
    <x v="5"/>
    <n v="0.57956315704946459"/>
    <x v="4"/>
    <x v="0"/>
    <n v="0.33589345300914236"/>
    <n v="0"/>
    <n v="0"/>
  </r>
  <r>
    <n v="20260407"/>
    <s v="2026-07-01"/>
    <s v="키움"/>
    <s v="LG"/>
    <n v="10001"/>
    <n v="5002"/>
    <n v="60.99"/>
    <n v="0.60992587073718318"/>
    <x v="5"/>
    <n v="0.60992587073718318"/>
    <x v="2"/>
    <x v="0"/>
    <n v="0.37200956779451111"/>
    <n v="0"/>
    <n v="0"/>
  </r>
  <r>
    <n v="20260408"/>
    <s v="2026-07-01"/>
    <s v="한화"/>
    <s v="KT"/>
    <n v="7002"/>
    <n v="12001"/>
    <n v="37.549999999999997"/>
    <n v="0.37546097795149092"/>
    <x v="5"/>
    <n v="0.62453902204850908"/>
    <x v="2"/>
    <x v="1"/>
    <n v="0.39004899006130811"/>
    <n v="0"/>
    <n v="1"/>
  </r>
  <r>
    <n v="20260409"/>
    <s v="2026-07-01"/>
    <s v="KIA"/>
    <s v="SSG"/>
    <n v="2002"/>
    <n v="9002"/>
    <n v="58.6"/>
    <n v="0.58595598025364681"/>
    <x v="5"/>
    <n v="0.58595598025364681"/>
    <x v="4"/>
    <x v="0"/>
    <s v=""/>
    <s v="draw"/>
    <s v=""/>
  </r>
  <r>
    <n v="20260410"/>
    <s v="2026-07-01"/>
    <s v="NC"/>
    <s v="삼성"/>
    <n v="11001"/>
    <n v="1001"/>
    <n v="41.81"/>
    <n v="0.41812270270933138"/>
    <x v="5"/>
    <n v="0.58187729729066862"/>
    <x v="4"/>
    <x v="1"/>
    <n v="0.17482659452095592"/>
    <n v="1"/>
    <n v="0"/>
  </r>
  <r>
    <n v="20260411"/>
    <s v="2026-07-02"/>
    <s v="두산"/>
    <s v="롯데"/>
    <n v="6002"/>
    <n v="3001"/>
    <n v="63.43"/>
    <n v="0.63434944139120997"/>
    <x v="5"/>
    <n v="0.63434944139120997"/>
    <x v="2"/>
    <x v="0"/>
    <n v="0.13370033101092019"/>
    <n v="1"/>
    <n v="1"/>
  </r>
  <r>
    <n v="20260412"/>
    <s v="2026-07-02"/>
    <s v="키움"/>
    <s v="LG"/>
    <n v="10001"/>
    <n v="5002"/>
    <n v="48.88"/>
    <n v="0.48881210343116333"/>
    <x v="5"/>
    <n v="0.51118789656883667"/>
    <x v="3"/>
    <x v="1"/>
    <n v="0.26131306559847167"/>
    <n v="0"/>
    <n v="1"/>
  </r>
  <r>
    <n v="20260413"/>
    <s v="2026-07-02"/>
    <s v="한화"/>
    <s v="KT"/>
    <n v="7002"/>
    <n v="12001"/>
    <n v="49.32"/>
    <n v="0.49319574451776688"/>
    <x v="5"/>
    <n v="0.50680425548223318"/>
    <x v="3"/>
    <x v="1"/>
    <n v="0.24324204241043432"/>
    <n v="1"/>
    <n v="0"/>
  </r>
  <r>
    <n v="20260414"/>
    <s v="2026-07-02"/>
    <s v="KIA"/>
    <s v="SSG"/>
    <n v="2002"/>
    <n v="9002"/>
    <n v="73.23"/>
    <n v="0.73232125132190407"/>
    <x v="5"/>
    <n v="0.73232125132190407"/>
    <x v="0"/>
    <x v="0"/>
    <n v="7.1651912493871248E-2"/>
    <n v="1"/>
    <n v="1"/>
  </r>
  <r>
    <n v="20260415"/>
    <s v="2026-07-02"/>
    <s v="NC"/>
    <s v="삼성"/>
    <n v="11001"/>
    <n v="1001"/>
    <n v="48.91"/>
    <n v="0.48909795057059552"/>
    <x v="5"/>
    <n v="0.51090204942940454"/>
    <x v="3"/>
    <x v="1"/>
    <n v="0.26102090411116574"/>
    <n v="0"/>
    <n v="1"/>
  </r>
  <r>
    <n v="20260416"/>
    <s v="2026-07-03"/>
    <s v="LG"/>
    <s v="한화"/>
    <n v="5002"/>
    <n v="7002"/>
    <n v="48.05"/>
    <n v="0.48052048793654328"/>
    <x v="5"/>
    <n v="0.51947951206345677"/>
    <x v="3"/>
    <x v="1"/>
    <n v="0.26985896345368715"/>
    <n v="0"/>
    <n v="1"/>
  </r>
  <r>
    <n v="20260417"/>
    <s v="2026-07-03"/>
    <s v="키움"/>
    <s v="두산"/>
    <n v="10001"/>
    <n v="6002"/>
    <n v="45.35"/>
    <n v="0.45351631459790581"/>
    <x v="5"/>
    <n v="0.54648368540209424"/>
    <x v="3"/>
    <x v="1"/>
    <n v="0.20567704760646663"/>
    <n v="1"/>
    <n v="0"/>
  </r>
  <r>
    <n v="20260418"/>
    <s v="2026-07-03"/>
    <s v="SSG"/>
    <s v="삼성"/>
    <n v="9002"/>
    <n v="1001"/>
    <n v="31.75"/>
    <n v="0.3175001002882944"/>
    <x v="5"/>
    <n v="0.68249989971170555"/>
    <x v="1"/>
    <x v="1"/>
    <n v="0.46580611310648812"/>
    <n v="0"/>
    <n v="1"/>
  </r>
  <r>
    <n v="20260419"/>
    <s v="2026-07-03"/>
    <s v="KT"/>
    <s v="롯데"/>
    <n v="12001"/>
    <n v="3001"/>
    <n v="54.28"/>
    <n v="0.54281774938630434"/>
    <x v="5"/>
    <n v="0.54281774938630434"/>
    <x v="3"/>
    <x v="0"/>
    <n v="0.2946511090488127"/>
    <n v="0"/>
    <n v="0"/>
  </r>
  <r>
    <n v="20260420"/>
    <s v="2026-07-03"/>
    <s v="KIA"/>
    <s v="NC"/>
    <n v="2002"/>
    <n v="11001"/>
    <n v="44.2"/>
    <n v="0.44204195715918559"/>
    <x v="5"/>
    <n v="0.55795804284081441"/>
    <x v="4"/>
    <x v="1"/>
    <n v="0.31131717757075206"/>
    <n v="0"/>
    <n v="1"/>
  </r>
  <r>
    <n v="20260427"/>
    <s v="2026-07-05"/>
    <s v="키움"/>
    <s v="두산"/>
    <n v="10001"/>
    <n v="6002"/>
    <n v="25.87"/>
    <n v="0.25872401378120952"/>
    <x v="5"/>
    <n v="0.74127598621879054"/>
    <x v="0"/>
    <x v="1"/>
    <n v="0.54949008774464059"/>
    <n v="0"/>
    <n v="1"/>
  </r>
  <r>
    <n v="20260426"/>
    <s v="2026-07-05"/>
    <s v="LG"/>
    <s v="한화"/>
    <n v="5002"/>
    <n v="7002"/>
    <n v="36.53"/>
    <n v="0.3653462025604961"/>
    <x v="5"/>
    <n v="0.6346537974395039"/>
    <x v="2"/>
    <x v="1"/>
    <s v=""/>
    <s v="cancel"/>
    <s v=""/>
  </r>
  <r>
    <n v="20260428"/>
    <s v="2026-07-05"/>
    <s v="SSG"/>
    <s v="삼성"/>
    <n v="9002"/>
    <n v="1001"/>
    <n v="34.770000000000003"/>
    <n v="0.34768864830071178"/>
    <x v="5"/>
    <n v="0.65231135169928822"/>
    <x v="1"/>
    <x v="1"/>
    <n v="0.42551009955575247"/>
    <n v="0"/>
    <n v="1"/>
  </r>
  <r>
    <n v="20260429"/>
    <s v="2026-07-05"/>
    <s v="KT"/>
    <s v="롯데"/>
    <n v="12001"/>
    <n v="3001"/>
    <n v="41.62"/>
    <n v="0.41615467273368523"/>
    <x v="5"/>
    <n v="0.58384532726631477"/>
    <x v="4"/>
    <x v="1"/>
    <n v="0.17318471163808066"/>
    <n v="1"/>
    <n v="0"/>
  </r>
  <r>
    <n v="20260430"/>
    <s v="2026-07-05"/>
    <s v="KIA"/>
    <s v="NC"/>
    <n v="2002"/>
    <n v="11001"/>
    <n v="40.51"/>
    <n v="0.40508197695597742"/>
    <x v="5"/>
    <n v="0.59491802304402253"/>
    <x v="4"/>
    <x v="1"/>
    <s v=""/>
    <s v="cancel"/>
    <s v=""/>
  </r>
  <r>
    <n v="20260431"/>
    <s v="2026-07-07"/>
    <s v="두산"/>
    <s v="SSG"/>
    <n v="6002"/>
    <n v="9002"/>
    <n v="66.87"/>
    <n v="0.66870264232671783"/>
    <x v="5"/>
    <n v="0.66870264232671783"/>
    <x v="1"/>
    <x v="0"/>
    <n v="0.44716322385473434"/>
    <n v="0"/>
    <n v="0"/>
  </r>
  <r>
    <n v="20260432"/>
    <s v="2026-07-07"/>
    <s v="KT"/>
    <s v="키움"/>
    <n v="12001"/>
    <n v="10001"/>
    <n v="51.51"/>
    <n v="0.51508970993143877"/>
    <x v="5"/>
    <n v="0.51508970993143877"/>
    <x v="3"/>
    <x v="0"/>
    <n v="0.23513798941437619"/>
    <n v="1"/>
    <n v="1"/>
  </r>
  <r>
    <n v="20260433"/>
    <s v="2026-07-07"/>
    <s v="한화"/>
    <s v="NC"/>
    <n v="7002"/>
    <n v="11001"/>
    <n v="45.32"/>
    <n v="0.453209564072941"/>
    <x v="5"/>
    <n v="0.546790435927059"/>
    <x v="3"/>
    <x v="1"/>
    <n v="0.29897978082130322"/>
    <n v="0"/>
    <n v="1"/>
  </r>
  <r>
    <n v="20260434"/>
    <s v="2026-07-07"/>
    <s v="삼성"/>
    <s v="LG"/>
    <n v="1001"/>
    <n v="5002"/>
    <n v="54.22"/>
    <n v="0.54219235920687103"/>
    <x v="5"/>
    <n v="0.54219235920687103"/>
    <x v="3"/>
    <x v="0"/>
    <n v="0.20958783596857061"/>
    <n v="1"/>
    <n v="1"/>
  </r>
  <r>
    <n v="20260435"/>
    <s v="2026-07-07"/>
    <s v="롯데"/>
    <s v="KIA"/>
    <n v="3001"/>
    <n v="2002"/>
    <n v="69.62"/>
    <n v="0.69624454728243468"/>
    <x v="5"/>
    <n v="0.69624454728243468"/>
    <x v="1"/>
    <x v="0"/>
    <n v="9.2267375055653064E-2"/>
    <n v="1"/>
    <n v="1"/>
  </r>
  <r>
    <n v="20260436"/>
    <s v="2026-07-08"/>
    <s v="두산"/>
    <s v="SSG"/>
    <n v="6002"/>
    <n v="9002"/>
    <n v="79.36"/>
    <n v="0.79357904432454252"/>
    <x v="5"/>
    <n v="0.79357904432454252"/>
    <x v="0"/>
    <x v="0"/>
    <n v="4.2609610941969182E-2"/>
    <n v="1"/>
    <n v="1"/>
  </r>
  <r>
    <n v="20260437"/>
    <s v="2026-07-08"/>
    <s v="KT"/>
    <s v="키움"/>
    <n v="12001"/>
    <n v="10001"/>
    <n v="61.47"/>
    <n v="0.61474551215965112"/>
    <x v="5"/>
    <n v="0.61474551215965112"/>
    <x v="2"/>
    <x v="0"/>
    <n v="0.14842102040112953"/>
    <n v="1"/>
    <n v="1"/>
  </r>
  <r>
    <n v="20260438"/>
    <s v="2026-07-08"/>
    <s v="한화"/>
    <s v="NC"/>
    <n v="7002"/>
    <n v="11001"/>
    <n v="55.07"/>
    <n v="0.55070594346089774"/>
    <x v="5"/>
    <n v="0.55070594346089774"/>
    <x v="4"/>
    <x v="0"/>
    <s v=""/>
    <s v="cancel"/>
    <s v=""/>
  </r>
  <r>
    <n v="20260439"/>
    <s v="2026-07-08"/>
    <s v="삼성"/>
    <s v="LG"/>
    <n v="1001"/>
    <n v="5002"/>
    <n v="43.05"/>
    <n v="0.43049326855872161"/>
    <x v="5"/>
    <n v="0.56950673144127839"/>
    <x v="4"/>
    <x v="1"/>
    <n v="0.32433791715692839"/>
    <n v="0"/>
    <n v="1"/>
  </r>
  <r>
    <n v="20260440"/>
    <s v="2026-07-08"/>
    <s v="롯데"/>
    <s v="KIA"/>
    <n v="3001"/>
    <n v="2002"/>
    <n v="42.42"/>
    <n v="0.42422791269845539"/>
    <x v="5"/>
    <n v="0.57577208730154461"/>
    <x v="4"/>
    <x v="1"/>
    <n v="0.17996932191248829"/>
    <n v="1"/>
    <n v="0"/>
  </r>
  <r>
    <n v="20260441"/>
    <s v="2026-07-09"/>
    <s v="두산"/>
    <s v="SSG"/>
    <n v="6002"/>
    <n v="9002"/>
    <n v="68.94"/>
    <n v="0.68943394092188715"/>
    <x v="5"/>
    <n v="0.68943394092188715"/>
    <x v="1"/>
    <x v="0"/>
    <n v="9.6451277051309889E-2"/>
    <n v="1"/>
    <n v="1"/>
  </r>
  <r>
    <n v="20260442"/>
    <s v="2026-07-09"/>
    <s v="KT"/>
    <s v="키움"/>
    <n v="12001"/>
    <n v="10001"/>
    <n v="58.3"/>
    <n v="0.58299230072238739"/>
    <x v="5"/>
    <n v="0.58299230072238739"/>
    <x v="4"/>
    <x v="0"/>
    <s v=""/>
    <s v="cancel"/>
    <s v=""/>
  </r>
  <r>
    <n v="20260443"/>
    <s v="2026-07-09"/>
    <s v="한화"/>
    <s v="NC"/>
    <n v="7002"/>
    <n v="11001"/>
    <n v="53.53"/>
    <n v="0.53529594472274467"/>
    <x v="5"/>
    <n v="0.53529594472274467"/>
    <x v="3"/>
    <x v="0"/>
    <n v="0.21594985899112637"/>
    <n v="1"/>
    <n v="1"/>
  </r>
  <r>
    <n v="20260444"/>
    <s v="2026-07-09"/>
    <s v="삼성"/>
    <s v="LG"/>
    <n v="1001"/>
    <n v="5002"/>
    <n v="49.47"/>
    <n v="0.49466053513501379"/>
    <x v="5"/>
    <n v="0.50533946486498627"/>
    <x v="3"/>
    <x v="1"/>
    <n v="0.24468904502005817"/>
    <n v="1"/>
    <n v="0"/>
  </r>
  <r>
    <n v="20260445"/>
    <s v="2026-07-09"/>
    <s v="롯데"/>
    <s v="KIA"/>
    <n v="3001"/>
    <n v="2002"/>
    <n v="62.36"/>
    <n v="0.62361924611380914"/>
    <x v="5"/>
    <n v="0.62361924611380914"/>
    <x v="2"/>
    <x v="0"/>
    <n v="0.38890096412355568"/>
    <n v="0"/>
    <n v="0"/>
  </r>
  <r>
    <n v="20260446"/>
    <s v="2026-07-16"/>
    <s v="LG"/>
    <s v="KT"/>
    <n v="5002"/>
    <n v="12001"/>
    <n v="53.72"/>
    <n v="0.53723742783474837"/>
    <x v="5"/>
    <n v="0.53723742783474837"/>
    <x v="3"/>
    <x v="0"/>
    <n v="0.28862405386649648"/>
    <n v="0"/>
    <n v="0"/>
  </r>
  <r>
    <n v="20260447"/>
    <s v="2026-07-16"/>
    <s v="SSG"/>
    <s v="KIA"/>
    <n v="9002"/>
    <n v="2002"/>
    <n v="31.09"/>
    <n v="0.31086715654532687"/>
    <x v="5"/>
    <n v="0.68913284345467307"/>
    <x v="1"/>
    <x v="1"/>
    <n v="9.6638389018576798E-2"/>
    <n v="1"/>
    <n v="0"/>
  </r>
  <r>
    <n v="20260448"/>
    <s v="2026-07-16"/>
    <s v="한화"/>
    <s v="키움"/>
    <n v="7002"/>
    <n v="10001"/>
    <n v="64.22"/>
    <n v="0.6422227154593626"/>
    <x v="5"/>
    <n v="0.6422227154593626"/>
    <x v="2"/>
    <x v="0"/>
    <n v="0.4124500162519974"/>
    <n v="0"/>
    <n v="0"/>
  </r>
  <r>
    <n v="20260449"/>
    <s v="2026-07-16"/>
    <s v="삼성"/>
    <s v="롯데"/>
    <n v="1001"/>
    <n v="3001"/>
    <n v="40.6"/>
    <n v="0.40604851586098151"/>
    <x v="5"/>
    <n v="0.59395148413901855"/>
    <x v="4"/>
    <x v="1"/>
    <n v="0.1648753972329057"/>
    <n v="1"/>
    <n v="0"/>
  </r>
  <r>
    <n v="20260450"/>
    <s v="2026-07-16"/>
    <s v="NC"/>
    <s v="두산"/>
    <n v="11001"/>
    <n v="6002"/>
    <n v="52.77"/>
    <n v="0.52765541583621034"/>
    <x v="5"/>
    <n v="0.52765541583621034"/>
    <x v="3"/>
    <x v="0"/>
    <n v="0.22310940618886338"/>
    <n v="1"/>
    <n v="1"/>
  </r>
  <r>
    <n v="20260451"/>
    <s v="2026-07-17"/>
    <s v="LG"/>
    <s v="KT"/>
    <n v="5002"/>
    <n v="12001"/>
    <n v="39.44"/>
    <n v="0.39435385469451251"/>
    <x v="5"/>
    <n v="0.60564614530548755"/>
    <x v="2"/>
    <x v="1"/>
    <n v="0.36680725332339575"/>
    <n v="0"/>
    <n v="1"/>
  </r>
  <r>
    <n v="20260452"/>
    <s v="2026-07-17"/>
    <s v="SSG"/>
    <s v="KIA"/>
    <n v="9002"/>
    <n v="2002"/>
    <n v="57.72"/>
    <n v="0.57721346437636945"/>
    <x v="5"/>
    <n v="0.57721346437636945"/>
    <x v="4"/>
    <x v="0"/>
    <n v="0.3331753834573703"/>
    <n v="0"/>
    <n v="0"/>
  </r>
  <r>
    <n v="20260453"/>
    <s v="2026-07-17"/>
    <s v="한화"/>
    <s v="키움"/>
    <n v="7002"/>
    <n v="10001"/>
    <n v="54.92"/>
    <n v="0.54919687362151193"/>
    <x v="5"/>
    <n v="0.54919687362151193"/>
    <x v="3"/>
    <x v="0"/>
    <n v="0.30161720599564296"/>
    <n v="0"/>
    <n v="0"/>
  </r>
  <r>
    <n v="20260454"/>
    <s v="2026-07-17"/>
    <s v="삼성"/>
    <s v="롯데"/>
    <n v="1001"/>
    <n v="3001"/>
    <n v="52.13"/>
    <n v="0.52133836947226453"/>
    <x v="5"/>
    <n v="0.52133836947226453"/>
    <x v="3"/>
    <x v="0"/>
    <s v=""/>
    <s v="cancel"/>
    <s v=""/>
  </r>
  <r>
    <n v="20260455"/>
    <s v="2026-07-17"/>
    <s v="NC"/>
    <s v="두산"/>
    <n v="11001"/>
    <n v="6002"/>
    <n v="35.99"/>
    <n v="0.35992827753049911"/>
    <x v="5"/>
    <n v="0.64007172246950095"/>
    <x v="2"/>
    <x v="1"/>
    <n v="0.40969180990507387"/>
    <n v="0"/>
    <n v="1"/>
  </r>
  <r>
    <n v="20260456"/>
    <s v="2026-07-18"/>
    <s v="LG"/>
    <s v="KT"/>
    <n v="5002"/>
    <n v="12001"/>
    <n v="47.58"/>
    <n v="0.4757542993428413"/>
    <x v="5"/>
    <n v="0.5242457006571587"/>
    <x v="3"/>
    <x v="1"/>
    <n v="0.27483355465751524"/>
    <n v="0"/>
    <n v="1"/>
  </r>
  <r>
    <n v="20260457"/>
    <s v="2026-07-18"/>
    <s v="SSG"/>
    <s v="KIA"/>
    <n v="9002"/>
    <n v="2002"/>
    <n v="36.119999999999997"/>
    <n v="0.3611664680814391"/>
    <x v="5"/>
    <n v="0.63883353191856096"/>
    <x v="2"/>
    <x v="1"/>
    <n v="0.40810828150354306"/>
    <n v="0"/>
    <n v="1"/>
  </r>
  <r>
    <n v="20260458"/>
    <s v="2026-07-18"/>
    <s v="한화"/>
    <s v="키움"/>
    <n v="7002"/>
    <n v="10001"/>
    <n v="36.28"/>
    <n v="0.36280326619800329"/>
    <x v="5"/>
    <n v="0.63719673380199671"/>
    <x v="2"/>
    <x v="1"/>
    <n v="0.40601967756793267"/>
    <n v="0"/>
    <n v="1"/>
  </r>
  <r>
    <n v="20260459"/>
    <s v="2026-07-18"/>
    <s v="삼성"/>
    <s v="롯데"/>
    <n v="1001"/>
    <n v="3001"/>
    <n v="37.200000000000003"/>
    <n v="0.37200148185766302"/>
    <x v="5"/>
    <n v="0.62799851814233698"/>
    <x v="2"/>
    <x v="1"/>
    <n v="0.1383851025042972"/>
    <n v="1"/>
    <n v="0"/>
  </r>
  <r>
    <n v="20260460"/>
    <s v="2026-07-18"/>
    <s v="NC"/>
    <s v="두산"/>
    <n v="11001"/>
    <n v="6002"/>
    <n v="48.93"/>
    <n v="0.48934777987559858"/>
    <x v="5"/>
    <n v="0.51065222012440148"/>
    <x v="3"/>
    <x v="1"/>
    <n v="0.26076568991798016"/>
    <n v="0"/>
    <n v="1"/>
  </r>
  <r>
    <n v="20260461"/>
    <s v="2026-07-19"/>
    <s v="LG"/>
    <s v="KT"/>
    <n v="5002"/>
    <n v="12001"/>
    <n v="35.25"/>
    <n v="0.35254041532539471"/>
    <x v="5"/>
    <n v="0.64745958467460529"/>
    <x v="2"/>
    <x v="1"/>
    <n v="0.41920391378701238"/>
    <n v="0"/>
    <n v="1"/>
  </r>
  <r>
    <n v="20260462"/>
    <s v="2026-07-19"/>
    <s v="SSG"/>
    <s v="KIA"/>
    <n v="9002"/>
    <n v="2002"/>
    <n v="42.2"/>
    <n v="0.422019334890119"/>
    <x v="5"/>
    <n v="0.577980665109881"/>
    <x v="4"/>
    <x v="1"/>
    <n v="0.3340616492408604"/>
    <n v="0"/>
    <n v="1"/>
  </r>
  <r>
    <n v="20260463"/>
    <s v="2026-07-19"/>
    <s v="한화"/>
    <s v="키움"/>
    <n v="7002"/>
    <n v="10001"/>
    <n v="59.34"/>
    <n v="0.59336917211451468"/>
    <x v="5"/>
    <n v="0.59336917211451468"/>
    <x v="4"/>
    <x v="0"/>
    <s v=""/>
    <s v="draw"/>
    <s v=""/>
  </r>
  <r>
    <n v="20260464"/>
    <s v="2026-07-19"/>
    <s v="삼성"/>
    <s v="롯데"/>
    <n v="1001"/>
    <n v="3001"/>
    <n v="52.33"/>
    <n v="0.52330013433030487"/>
    <x v="5"/>
    <n v="0.52330013433030487"/>
    <x v="3"/>
    <x v="0"/>
    <n v="0.27384303059011511"/>
    <n v="0"/>
    <n v="0"/>
  </r>
  <r>
    <n v="20260465"/>
    <s v="2026-07-19"/>
    <s v="NC"/>
    <s v="두산"/>
    <n v="11001"/>
    <n v="6002"/>
    <n v="51.63"/>
    <n v="0.51626124952095542"/>
    <x v="5"/>
    <n v="0.51626124952095542"/>
    <x v="3"/>
    <x v="0"/>
    <n v="0.2665256777569382"/>
    <n v="0"/>
    <n v="0"/>
  </r>
  <r>
    <n v="20260466"/>
    <s v="2026-07-21"/>
    <s v="LG"/>
    <s v="NC"/>
    <n v="5002"/>
    <n v="11001"/>
    <n v="59.87"/>
    <n v="0.59865959440305261"/>
    <x v="5"/>
    <n v="0.59865959440305261"/>
    <x v="4"/>
    <x v="0"/>
    <n v="0.35839330997082747"/>
    <n v="0"/>
    <n v="0"/>
  </r>
  <r>
    <n v="20260467"/>
    <s v="2026-07-21"/>
    <s v="키움"/>
    <s v="삼성"/>
    <n v="10001"/>
    <n v="1001"/>
    <n v="43.54"/>
    <n v="0.43543783656575058"/>
    <x v="5"/>
    <n v="0.56456216343424948"/>
    <x v="4"/>
    <x v="1"/>
    <n v="0.31873043638156023"/>
    <n v="0"/>
    <n v="1"/>
  </r>
  <r>
    <n v="20260468"/>
    <s v="2026-07-21"/>
    <s v="KT"/>
    <s v="두산"/>
    <n v="12001"/>
    <n v="6002"/>
    <n v="41.61"/>
    <n v="0.4161459001617368"/>
    <x v="5"/>
    <n v="0.5838540998382632"/>
    <x v="4"/>
    <x v="1"/>
    <s v=""/>
    <s v="draw"/>
    <s v=""/>
  </r>
  <r>
    <n v="20260469"/>
    <s v="2026-07-21"/>
    <s v="KIA"/>
    <s v="한화"/>
    <n v="2002"/>
    <n v="7002"/>
    <n v="59"/>
    <n v="0.59004409057619367"/>
    <x v="5"/>
    <n v="0.59004409057619367"/>
    <x v="4"/>
    <x v="0"/>
    <n v="0.16806384767150009"/>
    <n v="1"/>
    <n v="1"/>
  </r>
  <r>
    <n v="20260470"/>
    <s v="2026-07-21"/>
    <s v="롯데"/>
    <s v="SSG"/>
    <n v="3001"/>
    <n v="9002"/>
    <n v="71.84"/>
    <n v="0.71838555749269761"/>
    <x v="5"/>
    <n v="0.71838555749269761"/>
    <x v="0"/>
    <x v="0"/>
    <n v="7.9306694228698724E-2"/>
    <n v="1"/>
    <n v="1"/>
  </r>
  <r>
    <n v="20260471"/>
    <s v="2026-07-22"/>
    <s v="LG"/>
    <s v="NC"/>
    <n v="5002"/>
    <n v="11001"/>
    <n v="39.119999999999997"/>
    <n v="0.3912203327133324"/>
    <x v="5"/>
    <n v="0.60877966728666766"/>
    <x v="2"/>
    <x v="1"/>
    <s v=""/>
    <s v="cancel"/>
    <s v=""/>
  </r>
  <r>
    <n v="20260472"/>
    <s v="2026-07-22"/>
    <s v="키움"/>
    <s v="삼성"/>
    <n v="10001"/>
    <n v="1001"/>
    <n v="41.6"/>
    <n v="0.41600834204766418"/>
    <x v="5"/>
    <n v="0.58399165795233587"/>
    <x v="4"/>
    <x v="1"/>
    <n v="0.17306294065324632"/>
    <n v="1"/>
    <n v="0"/>
  </r>
  <r>
    <n v="20260473"/>
    <s v="2026-07-22"/>
    <s v="KT"/>
    <s v="두산"/>
    <n v="12001"/>
    <n v="6002"/>
    <n v="35.659999999999997"/>
    <n v="0.35663055759252171"/>
    <x v="5"/>
    <n v="0.64336944240747829"/>
    <x v="2"/>
    <x v="1"/>
    <s v=""/>
    <s v="cancel"/>
    <s v=""/>
  </r>
  <r>
    <n v="20260474"/>
    <s v="2026-07-22"/>
    <s v="KIA"/>
    <s v="한화"/>
    <n v="2002"/>
    <n v="7002"/>
    <n v="61.14"/>
    <n v="0.6114291907340329"/>
    <x v="5"/>
    <n v="0.6114291907340329"/>
    <x v="2"/>
    <x v="0"/>
    <n v="0.3738456552816744"/>
    <n v="0"/>
    <n v="0"/>
  </r>
  <r>
    <n v="20260475"/>
    <s v="2026-07-22"/>
    <s v="롯데"/>
    <s v="SSG"/>
    <n v="3001"/>
    <n v="9002"/>
    <n v="32.03"/>
    <n v="0.32033463042676957"/>
    <x v="5"/>
    <n v="0.67966536957323043"/>
    <x v="1"/>
    <x v="1"/>
    <n v="0.4619450145971159"/>
    <n v="0"/>
    <n v="1"/>
  </r>
  <r>
    <n v="20260476"/>
    <s v="2026-07-23"/>
    <s v="LG"/>
    <s v="NC"/>
    <n v="5002"/>
    <n v="11001"/>
    <n v="64.66"/>
    <n v="0.64657383064642049"/>
    <x v="5"/>
    <n v="0.64657383064642049"/>
    <x v="2"/>
    <x v="0"/>
    <n v="0.41805771847678602"/>
    <n v="0"/>
    <n v="0"/>
  </r>
  <r>
    <n v="20260477"/>
    <s v="2026-07-23"/>
    <s v="키움"/>
    <s v="삼성"/>
    <n v="10001"/>
    <n v="1001"/>
    <n v="44.18"/>
    <n v="0.44182622945310202"/>
    <x v="5"/>
    <n v="0.55817377054689798"/>
    <x v="4"/>
    <x v="1"/>
    <n v="0.31155795812654113"/>
    <n v="0"/>
    <n v="1"/>
  </r>
  <r>
    <n v="20260478"/>
    <s v="2026-07-23"/>
    <s v="KT"/>
    <s v="두산"/>
    <n v="12001"/>
    <n v="6002"/>
    <n v="36.32"/>
    <n v="0.36324823301309073"/>
    <x v="5"/>
    <n v="0.63675176698690927"/>
    <x v="2"/>
    <x v="1"/>
    <s v=""/>
    <s v="cancel"/>
    <s v=""/>
  </r>
  <r>
    <n v="20260479"/>
    <s v="2026-07-23"/>
    <s v="KIA"/>
    <s v="한화"/>
    <n v="2002"/>
    <n v="7002"/>
    <n v="51.27"/>
    <n v="0.51271505568531639"/>
    <x v="5"/>
    <n v="0.51271505568531639"/>
    <x v="3"/>
    <x v="0"/>
    <n v="0.26287672832639708"/>
    <n v="0"/>
    <n v="0"/>
  </r>
  <r>
    <n v="20260480"/>
    <s v="2026-07-23"/>
    <s v="롯데"/>
    <s v="SSG"/>
    <n v="3001"/>
    <n v="9002"/>
    <n v="66.25"/>
    <n v="0.66250680169722065"/>
    <x v="5"/>
    <n v="0.66250680169722065"/>
    <x v="1"/>
    <x v="0"/>
    <n v="0.43891526229508043"/>
    <n v="0"/>
    <n v="0"/>
  </r>
  <r>
    <n v="20260481"/>
    <s v="2026-07-24"/>
    <s v="두산"/>
    <s v="삼성"/>
    <n v="6002"/>
    <n v="1001"/>
    <n v="35.4"/>
    <n v="0.3540229299219233"/>
    <x v="5"/>
    <n v="0.6459770700780767"/>
    <x v="2"/>
    <x v="1"/>
    <n v="0.41728637506665639"/>
    <n v="0"/>
    <n v="1"/>
  </r>
  <r>
    <n v="20260482"/>
    <s v="2026-07-24"/>
    <s v="SSG"/>
    <s v="NC"/>
    <n v="9002"/>
    <n v="11001"/>
    <n v="18.96"/>
    <n v="0.18959911597208159"/>
    <x v="5"/>
    <n v="0.81040088402791843"/>
    <x v="0"/>
    <x v="1"/>
    <n v="3.5947824777394832E-2"/>
    <n v="1"/>
    <n v="0"/>
  </r>
  <r>
    <n v="20260483"/>
    <s v="2026-07-24"/>
    <s v="한화"/>
    <s v="LG"/>
    <n v="7002"/>
    <n v="5002"/>
    <n v="44.58"/>
    <n v="0.44583722804519088"/>
    <x v="5"/>
    <n v="0.55416277195480912"/>
    <x v="4"/>
    <x v="1"/>
    <n v="0.19877083391101955"/>
    <n v="1"/>
    <n v="0"/>
  </r>
  <r>
    <n v="20260484"/>
    <s v="2026-07-24"/>
    <s v="KIA"/>
    <s v="키움"/>
    <n v="2002"/>
    <n v="10001"/>
    <n v="45.16"/>
    <n v="0.45156196415696109"/>
    <x v="5"/>
    <n v="0.54843803584303896"/>
    <x v="3"/>
    <x v="1"/>
    <n v="0.3007842791593705"/>
    <n v="0"/>
    <n v="1"/>
  </r>
  <r>
    <n v="20260485"/>
    <s v="2026-07-24"/>
    <s v="롯데"/>
    <s v="KT"/>
    <n v="3001"/>
    <n v="12001"/>
    <n v="38.43"/>
    <n v="0.38426016826666898"/>
    <x v="5"/>
    <n v="0.61573983173333102"/>
    <x v="2"/>
    <x v="1"/>
    <n v="0.3791355403829908"/>
    <n v="0"/>
    <n v="1"/>
  </r>
  <r>
    <n v="20260486"/>
    <s v="2026-07-25"/>
    <s v="두산"/>
    <s v="삼성"/>
    <n v="6002"/>
    <n v="1001"/>
    <n v="52.51"/>
    <n v="0.52509145930024703"/>
    <x v="5"/>
    <n v="0.52509145930024703"/>
    <x v="3"/>
    <x v="0"/>
    <n v="0.27572104063006297"/>
    <n v="0"/>
    <n v="0"/>
  </r>
  <r>
    <n v="20260487"/>
    <s v="2026-07-25"/>
    <s v="SSG"/>
    <s v="NC"/>
    <n v="9002"/>
    <n v="11001"/>
    <n v="40.200000000000003"/>
    <n v="0.40199176274443438"/>
    <x v="5"/>
    <n v="0.59800823725556562"/>
    <x v="4"/>
    <x v="1"/>
    <n v="0.16159737731437762"/>
    <n v="1"/>
    <n v="0"/>
  </r>
  <r>
    <n v="20260488"/>
    <s v="2026-07-25"/>
    <s v="한화"/>
    <s v="LG"/>
    <n v="7002"/>
    <n v="5002"/>
    <n v="64.22"/>
    <n v="0.64219367683523365"/>
    <x v="5"/>
    <n v="0.64219367683523365"/>
    <x v="2"/>
    <x v="0"/>
    <n v="0.4124127185671565"/>
    <n v="0"/>
    <n v="0"/>
  </r>
  <r>
    <n v="20260489"/>
    <s v="2026-07-25"/>
    <s v="KIA"/>
    <s v="키움"/>
    <n v="2002"/>
    <n v="10001"/>
    <n v="49.41"/>
    <n v="0.49405266074035398"/>
    <x v="5"/>
    <n v="0.50594733925964608"/>
    <x v="3"/>
    <x v="1"/>
    <n v="0.24408803158462325"/>
    <n v="1"/>
    <n v="0"/>
  </r>
  <r>
    <n v="20260490"/>
    <s v="2026-07-25"/>
    <s v="롯데"/>
    <s v="KT"/>
    <n v="3001"/>
    <n v="12001"/>
    <n v="28.31"/>
    <n v="0.28313948557800972"/>
    <x v="5"/>
    <n v="0.71686051442199028"/>
    <x v="0"/>
    <x v="1"/>
    <n v="0.51388899713736058"/>
    <n v="0"/>
    <n v="1"/>
  </r>
  <r>
    <n v="20260491"/>
    <s v="2026-07-26"/>
    <s v="두산"/>
    <s v="삼성"/>
    <n v="6002"/>
    <n v="1001"/>
    <n v="62.52"/>
    <n v="0.62518318527431427"/>
    <x v="5"/>
    <n v="0.62518318527431427"/>
    <x v="2"/>
    <x v="0"/>
    <n v="0.14048764460110902"/>
    <n v="1"/>
    <n v="1"/>
  </r>
  <r>
    <n v="20260492"/>
    <s v="2026-07-26"/>
    <s v="SSG"/>
    <s v="NC"/>
    <n v="9002"/>
    <n v="11001"/>
    <n v="34.33"/>
    <n v="0.34329627038975241"/>
    <x v="5"/>
    <n v="0.65670372961024759"/>
    <x v="1"/>
    <x v="1"/>
    <s v=""/>
    <s v="draw"/>
    <s v=""/>
  </r>
  <r>
    <n v="20260493"/>
    <s v="2026-07-26"/>
    <s v="한화"/>
    <s v="LG"/>
    <n v="7002"/>
    <n v="5002"/>
    <n v="45.88"/>
    <n v="0.45876896837215142"/>
    <x v="5"/>
    <n v="0.54123103162784858"/>
    <x v="3"/>
    <x v="1"/>
    <n v="0.21046896634124806"/>
    <n v="1"/>
    <n v="0"/>
  </r>
  <r>
    <n v="20260494"/>
    <s v="2026-07-26"/>
    <s v="KIA"/>
    <s v="키움"/>
    <n v="2002"/>
    <n v="10001"/>
    <n v="60.33"/>
    <n v="0.60327107839586902"/>
    <x v="5"/>
    <n v="0.60327107839586902"/>
    <x v="2"/>
    <x v="0"/>
    <n v="0.36393599402891474"/>
    <n v="0"/>
    <n v="0"/>
  </r>
  <r>
    <n v="20260495"/>
    <s v="2026-07-26"/>
    <s v="롯데"/>
    <s v="KT"/>
    <n v="3001"/>
    <n v="12001"/>
    <n v="52.77"/>
    <n v="0.52769633785718306"/>
    <x v="5"/>
    <n v="0.52769633785718306"/>
    <x v="3"/>
    <x v="0"/>
    <n v="0.22307074927351617"/>
    <n v="1"/>
    <n v="1"/>
  </r>
  <r>
    <n v="20260496"/>
    <s v="2026-07-28"/>
    <s v="LG"/>
    <s v="키움"/>
    <n v="5002"/>
    <n v="10001"/>
    <n v="77.41"/>
    <n v="0.77414182245759244"/>
    <x v="5"/>
    <n v="0.77414182245759244"/>
    <x v="0"/>
    <x v="0"/>
    <n v="5.1011916362777694E-2"/>
    <n v="1"/>
    <n v="1"/>
  </r>
  <r>
    <n v="20260497"/>
    <s v="2026-07-28"/>
    <s v="SSG"/>
    <s v="두산"/>
    <n v="9002"/>
    <n v="6002"/>
    <n v="57.91"/>
    <n v="0.57909724610866753"/>
    <x v="5"/>
    <n v="0.57909724610866753"/>
    <x v="4"/>
    <x v="0"/>
    <n v="0.33535362045064265"/>
    <n v="0"/>
    <n v="0"/>
  </r>
  <r>
    <n v="20260498"/>
    <s v="2026-07-28"/>
    <s v="한화"/>
    <s v="롯데"/>
    <n v="7002"/>
    <n v="3001"/>
    <n v="54.1"/>
    <n v="0.54104332312036174"/>
    <x v="5"/>
    <n v="0.54104332312036174"/>
    <x v="3"/>
    <x v="0"/>
    <n v="0.29272787749312418"/>
    <n v="0"/>
    <n v="0"/>
  </r>
  <r>
    <n v="20260499"/>
    <s v="2026-07-28"/>
    <s v="삼성"/>
    <s v="KIA"/>
    <n v="1001"/>
    <n v="2002"/>
    <n v="42.53"/>
    <n v="0.42529867602263832"/>
    <x v="5"/>
    <n v="0.57470132397736173"/>
    <x v="4"/>
    <x v="1"/>
    <n v="0.18087896382660903"/>
    <n v="1"/>
    <n v="0"/>
  </r>
  <r>
    <n v="20260500"/>
    <s v="2026-07-28"/>
    <s v="NC"/>
    <s v="KT"/>
    <n v="11001"/>
    <n v="12001"/>
    <n v="25.8"/>
    <n v="0.25804759532248361"/>
    <x v="5"/>
    <n v="0.74195240467751633"/>
    <x v="0"/>
    <x v="1"/>
    <n v="0.55049337080674898"/>
    <n v="0"/>
    <n v="1"/>
  </r>
  <r>
    <n v="20260501"/>
    <s v="2026-07-29"/>
    <s v="LG"/>
    <s v="키움"/>
    <n v="5002"/>
    <n v="10001"/>
    <n v="51.38"/>
    <n v="0.51379802889491777"/>
    <x v="5"/>
    <n v="0.51379802889491777"/>
    <x v="3"/>
    <x v="0"/>
    <n v="0.26398841449630278"/>
    <n v="0"/>
    <n v="0"/>
  </r>
  <r>
    <n v="20260502"/>
    <s v="2026-07-29"/>
    <s v="SSG"/>
    <s v="두산"/>
    <n v="9002"/>
    <n v="6002"/>
    <n v="55.25"/>
    <n v="0.55250721804979286"/>
    <x v="5"/>
    <n v="0.55250721804979286"/>
    <x v="4"/>
    <x v="0"/>
    <n v="0.20024978989753564"/>
    <n v="1"/>
    <n v="1"/>
  </r>
  <r>
    <n v="20260503"/>
    <s v="2026-07-29"/>
    <s v="한화"/>
    <s v="롯데"/>
    <n v="7002"/>
    <n v="3001"/>
    <n v="45.89"/>
    <n v="0.45892496712728498"/>
    <x v="5"/>
    <n v="0.54107503287271497"/>
    <x v="3"/>
    <x v="1"/>
    <n v="0.21061212545277966"/>
    <n v="1"/>
    <n v="0"/>
  </r>
  <r>
    <n v="20260504"/>
    <s v="2026-07-29"/>
    <s v="삼성"/>
    <s v="KIA"/>
    <n v="1001"/>
    <n v="2002"/>
    <n v="61.94"/>
    <n v="0.61935153319134872"/>
    <x v="5"/>
    <n v="0.61935153319134872"/>
    <x v="2"/>
    <x v="0"/>
    <n v="0.38359632166647434"/>
    <n v="0"/>
    <n v="0"/>
  </r>
  <r>
    <n v="20260505"/>
    <s v="2026-07-29"/>
    <s v="NC"/>
    <s v="KT"/>
    <n v="11001"/>
    <n v="12001"/>
    <n v="42.92"/>
    <n v="0.42915567073348848"/>
    <x v="5"/>
    <n v="0.57084432926651152"/>
    <x v="4"/>
    <x v="1"/>
    <n v="0.32586324825573343"/>
    <n v="0"/>
    <n v="1"/>
  </r>
  <r>
    <n v="20260506"/>
    <s v="2026-07-30"/>
    <s v="LG"/>
    <s v="키움"/>
    <n v="5002"/>
    <n v="10001"/>
    <n v="34.159999999999997"/>
    <n v="0.3415935778681603"/>
    <x v="5"/>
    <n v="0.65840642213183975"/>
    <x v="1"/>
    <x v="1"/>
    <n v="0.11668617244077086"/>
    <n v="1"/>
    <n v="0"/>
  </r>
  <r>
    <n v="20260507"/>
    <s v="2026-07-30"/>
    <s v="SSG"/>
    <s v="두산"/>
    <n v="9002"/>
    <n v="6002"/>
    <n v="33.72"/>
    <n v="0.33719229382776122"/>
    <x v="5"/>
    <n v="0.66280770617223883"/>
    <x v="1"/>
    <x v="1"/>
    <n v="0.43931405536130491"/>
    <n v="0"/>
    <n v="1"/>
  </r>
  <r>
    <n v="20260508"/>
    <s v="2026-07-30"/>
    <s v="한화"/>
    <s v="롯데"/>
    <n v="7002"/>
    <n v="3001"/>
    <n v="46.04"/>
    <n v="0.46042824746385619"/>
    <x v="5"/>
    <n v="0.53957175253614387"/>
    <x v="3"/>
    <x v="1"/>
    <n v="0.21199417106263793"/>
    <n v="1"/>
    <n v="0"/>
  </r>
  <r>
    <n v="20260509"/>
    <s v="2026-07-30"/>
    <s v="삼성"/>
    <s v="KIA"/>
    <n v="1001"/>
    <n v="2002"/>
    <n v="68.27"/>
    <n v="0.682673204938822"/>
    <x v="5"/>
    <n v="0.682673204938822"/>
    <x v="1"/>
    <x v="0"/>
    <n v="0.46604270474144288"/>
    <n v="0"/>
    <n v="0"/>
  </r>
  <r>
    <n v="20260510"/>
    <s v="2026-07-30"/>
    <s v="NC"/>
    <s v="KT"/>
    <n v="11001"/>
    <n v="12001"/>
    <n v="44.85"/>
    <n v="0.44854565284134718"/>
    <x v="5"/>
    <n v="0.55145434715865282"/>
    <x v="4"/>
    <x v="1"/>
    <n v="0.30410189700017598"/>
    <n v="0"/>
    <n v="1"/>
  </r>
  <r>
    <n v="20260511"/>
    <s v="2026-07-31"/>
    <s v="두산"/>
    <s v="LG"/>
    <n v="6002"/>
    <n v="5002"/>
    <n v="61.6"/>
    <n v="0.61602494675315889"/>
    <x v="5"/>
    <n v="0.61602494675315889"/>
    <x v="2"/>
    <x v="0"/>
    <n v="0.14743684151591446"/>
    <n v="1"/>
    <n v="1"/>
  </r>
  <r>
    <n v="20260512"/>
    <s v="2026-07-31"/>
    <s v="키움"/>
    <s v="SSG"/>
    <n v="10001"/>
    <n v="9002"/>
    <n v="64.34"/>
    <n v="0.64344016127462611"/>
    <x v="5"/>
    <n v="0.64344016127462611"/>
    <x v="2"/>
    <x v="0"/>
    <n v="0.12713491859186463"/>
    <n v="1"/>
    <n v="1"/>
  </r>
  <r>
    <n v="20260513"/>
    <s v="2026-07-31"/>
    <s v="KT"/>
    <s v="한화"/>
    <n v="12001"/>
    <n v="7002"/>
    <n v="52.54"/>
    <n v="0.52537636384816666"/>
    <x v="5"/>
    <n v="0.52537636384816666"/>
    <x v="3"/>
    <x v="0"/>
    <n v="0.22526759599398788"/>
    <n v="1"/>
    <n v="1"/>
  </r>
  <r>
    <n v="20260514"/>
    <s v="2026-07-31"/>
    <s v="롯데"/>
    <s v="삼성"/>
    <n v="3001"/>
    <n v="1001"/>
    <n v="43.03"/>
    <n v="0.43034630227865878"/>
    <x v="5"/>
    <n v="0.56965369772134122"/>
    <x v="4"/>
    <x v="1"/>
    <n v="0.32450533532759718"/>
    <n v="0"/>
    <n v="1"/>
  </r>
  <r>
    <n v="20260515"/>
    <s v="2026-07-31"/>
    <s v="NC"/>
    <s v="KIA"/>
    <n v="11001"/>
    <n v="2002"/>
    <n v="46.95"/>
    <n v="0.46952723350165948"/>
    <x v="5"/>
    <n v="0.53047276649834052"/>
    <x v="3"/>
    <x v="1"/>
    <n v="0.22045582299972186"/>
    <n v="1"/>
    <n v="0"/>
  </r>
  <r>
    <n v="20260516"/>
    <s v="2026-08-01"/>
    <s v="두산"/>
    <s v="LG"/>
    <n v="6002"/>
    <n v="5002"/>
    <n v="75.5"/>
    <n v="0.75503096382776735"/>
    <x v="5"/>
    <n v="0.75503096382776735"/>
    <x v="0"/>
    <x v="0"/>
    <s v=""/>
    <s v="draw"/>
    <s v=""/>
  </r>
  <r>
    <n v="20260517"/>
    <s v="2026-08-01"/>
    <s v="키움"/>
    <s v="SSG"/>
    <n v="10001"/>
    <n v="9002"/>
    <n v="47.55"/>
    <n v="0.47550462739114568"/>
    <x v="5"/>
    <n v="0.52449537260885437"/>
    <x v="3"/>
    <x v="1"/>
    <n v="0.275095395888101"/>
    <n v="0"/>
    <n v="1"/>
  </r>
  <r>
    <n v="20260518"/>
    <s v="2026-08-01"/>
    <s v="KT"/>
    <s v="한화"/>
    <n v="12001"/>
    <n v="7002"/>
    <n v="47.13"/>
    <n v="0.47134005227477371"/>
    <x v="5"/>
    <n v="0.52865994772522629"/>
    <x v="3"/>
    <x v="1"/>
    <n v="0.2221614448783864"/>
    <n v="1"/>
    <n v="0"/>
  </r>
  <r>
    <n v="20260519"/>
    <s v="2026-08-01"/>
    <s v="롯데"/>
    <s v="삼성"/>
    <n v="3001"/>
    <n v="1001"/>
    <n v="16.59"/>
    <n v="0.16590100565358701"/>
    <x v="5"/>
    <n v="0.83409899434641299"/>
    <x v="0"/>
    <x v="1"/>
    <s v=""/>
    <s v="cancel"/>
    <s v=""/>
  </r>
  <r>
    <n v="20260520"/>
    <s v="2026-08-01"/>
    <s v="NC"/>
    <s v="KIA"/>
    <n v="11001"/>
    <n v="2002"/>
    <n v="64.38"/>
    <n v="0.64380537744851452"/>
    <x v="5"/>
    <n v="0.64380537744851452"/>
    <x v="2"/>
    <x v="0"/>
    <s v=""/>
    <s v="cancel"/>
    <s v=""/>
  </r>
  <r>
    <n v="20260522"/>
    <s v="2026-08-02"/>
    <s v="키움"/>
    <s v="SSG"/>
    <n v="10001"/>
    <n v="9002"/>
    <n v="20.399999999999999"/>
    <n v="0.20398777242101879"/>
    <x v="5"/>
    <n v="0.79601222757898116"/>
    <x v="0"/>
    <x v="1"/>
    <n v="4.1611011297289377E-2"/>
    <n v="1"/>
    <n v="0"/>
  </r>
  <r>
    <n v="20260521"/>
    <s v="2026-08-02"/>
    <s v="두산"/>
    <s v="LG"/>
    <n v="6002"/>
    <n v="5002"/>
    <n v="67.66"/>
    <n v="0.67660251719563513"/>
    <x v="5"/>
    <n v="0.67660251719563513"/>
    <x v="1"/>
    <x v="0"/>
    <n v="0.10458593188419947"/>
    <n v="1"/>
    <n v="1"/>
  </r>
  <r>
    <n v="20260523"/>
    <s v="2026-08-02"/>
    <s v="KT"/>
    <s v="한화"/>
    <n v="12001"/>
    <n v="7002"/>
    <n v="55.29"/>
    <n v="0.55293087763726323"/>
    <x v="5"/>
    <n v="0.55293087763726323"/>
    <x v="4"/>
    <x v="0"/>
    <n v="0.19987080017018771"/>
    <n v="1"/>
    <n v="1"/>
  </r>
  <r>
    <n v="20260524"/>
    <s v="2026-08-02"/>
    <s v="롯데"/>
    <s v="삼성"/>
    <n v="3001"/>
    <n v="1001"/>
    <n v="16.59"/>
    <n v="0.1659005382854736"/>
    <x v="5"/>
    <n v="0.83409946171452642"/>
    <x v="0"/>
    <x v="1"/>
    <n v="2.7522988603409883E-2"/>
    <n v="1"/>
    <n v="0"/>
  </r>
  <r>
    <n v="20260527"/>
    <s v="2026-08-04"/>
    <s v="SSG"/>
    <s v="LG"/>
    <n v="9002"/>
    <n v="5002"/>
    <n v="45.19"/>
    <n v="0.45189566001756731"/>
    <x v="5"/>
    <n v="0.54810433998243269"/>
    <x v="3"/>
    <x v="1"/>
    <n v="0.20420968754271279"/>
    <n v="1"/>
    <n v="0"/>
  </r>
  <r>
    <n v="20260528"/>
    <s v="2026-08-04"/>
    <s v="삼성"/>
    <s v="한화"/>
    <n v="1001"/>
    <n v="7002"/>
    <n v="48.22"/>
    <n v="0.48220975389456072"/>
    <x v="5"/>
    <n v="0.51779024610543933"/>
    <x v="3"/>
    <x v="1"/>
    <n v="0.26810673896193143"/>
    <n v="0"/>
    <n v="1"/>
  </r>
  <r>
    <n v="20260530"/>
    <s v="2026-08-04"/>
    <s v="롯데"/>
    <s v="키움"/>
    <n v="3001"/>
    <n v="10001"/>
    <n v="67.760000000000005"/>
    <n v="0.67759385342188683"/>
    <x v="5"/>
    <n v="0.67759385342188683"/>
    <x v="1"/>
    <x v="0"/>
    <n v="0.1039457233513478"/>
    <n v="1"/>
    <n v="1"/>
  </r>
  <r>
    <n v="20260531"/>
    <s v="2026-08-05"/>
    <s v="두산"/>
    <s v="NC"/>
    <n v="6002"/>
    <n v="11001"/>
    <n v="52.53"/>
    <n v="0.52533958734737318"/>
    <x v="5"/>
    <n v="0.52533958734737318"/>
    <x v="3"/>
    <x v="0"/>
    <s v=""/>
    <s v="cancel"/>
    <s v=""/>
  </r>
  <r>
    <n v="20260532"/>
    <s v="2026-08-05"/>
    <s v="SSG"/>
    <s v="LG"/>
    <n v="9002"/>
    <n v="5002"/>
    <n v="54.95"/>
    <n v="0.54952729648009924"/>
    <x v="5"/>
    <n v="0.54952729648009924"/>
    <x v="3"/>
    <x v="0"/>
    <s v=""/>
    <s v="cancel"/>
    <s v=""/>
  </r>
  <r>
    <n v="20260533"/>
    <s v="2026-08-05"/>
    <s v="삼성"/>
    <s v="한화"/>
    <n v="1001"/>
    <n v="7002"/>
    <n v="58.86"/>
    <n v="0.58862322346708595"/>
    <x v="5"/>
    <n v="0.58862322346708595"/>
    <x v="4"/>
    <x v="0"/>
    <s v=""/>
    <s v="cancel"/>
    <s v=""/>
  </r>
  <r>
    <n v="20260534"/>
    <s v="2026-08-05"/>
    <s v="KIA"/>
    <s v="KT"/>
    <n v="2002"/>
    <n v="12001"/>
    <n v="44.74"/>
    <n v="0.44741809388235021"/>
    <x v="5"/>
    <n v="0.55258190611764979"/>
    <x v="4"/>
    <x v="1"/>
    <s v=""/>
    <s v="cancel"/>
    <s v=""/>
  </r>
  <r>
    <n v="20260535"/>
    <s v="2026-08-05"/>
    <s v="롯데"/>
    <s v="키움"/>
    <n v="3001"/>
    <n v="10001"/>
    <n v="44.62"/>
    <n v="0.44619826497264931"/>
    <x v="5"/>
    <n v="0.55380173502735075"/>
    <x v="4"/>
    <x v="1"/>
    <s v=""/>
    <s v="cancel"/>
    <s v=""/>
  </r>
  <r>
    <n v="20260556"/>
    <s v="2026-08-11"/>
    <s v="두산"/>
    <s v="한화"/>
    <n v="6002"/>
    <n v="7002"/>
    <n v="59.48"/>
    <n v="0.5947819573728591"/>
    <x v="5"/>
    <n v="0.5947819573728591"/>
    <x v="4"/>
    <x v="0"/>
    <n v="0.16420166207057138"/>
    <n v="1"/>
    <n v="1"/>
  </r>
  <r>
    <n v="20260557"/>
    <s v="2026-08-11"/>
    <s v="키움"/>
    <s v="LG"/>
    <n v="10001"/>
    <n v="5002"/>
    <n v="23.9"/>
    <n v="0.2389687951054881"/>
    <x v="5"/>
    <n v="0.76103120489451193"/>
    <x v="0"/>
    <x v="1"/>
    <n v="0.57916849482319255"/>
    <n v="0"/>
    <n v="1"/>
  </r>
  <r>
    <n v="20260558"/>
    <s v="2026-08-11"/>
    <s v="SSG"/>
    <s v="롯데"/>
    <n v="9002"/>
    <n v="3001"/>
    <n v="59.36"/>
    <n v="0.59356092007795513"/>
    <x v="5"/>
    <n v="0.59356092007795513"/>
    <x v="4"/>
    <x v="0"/>
    <n v="0.16519272568787838"/>
    <n v="1"/>
    <n v="1"/>
  </r>
  <r>
    <n v="20260559"/>
    <s v="2026-08-11"/>
    <s v="KIA"/>
    <s v="삼성"/>
    <n v="2002"/>
    <n v="1001"/>
    <n v="40.32"/>
    <n v="0.4031950022941605"/>
    <x v="5"/>
    <n v="0.5968049977058395"/>
    <x v="4"/>
    <x v="1"/>
    <n v="0.1625662098749881"/>
    <n v="1"/>
    <n v="0"/>
  </r>
  <r>
    <n v="20260560"/>
    <s v="2026-08-11"/>
    <s v="NC"/>
    <s v="KT"/>
    <n v="11001"/>
    <n v="12001"/>
    <n v="48.62"/>
    <n v="0.48621027591618299"/>
    <x v="5"/>
    <n v="0.51378972408381696"/>
    <x v="3"/>
    <x v="1"/>
    <n v="0.26397988057412475"/>
    <n v="0"/>
    <n v="1"/>
  </r>
  <r>
    <n v="20260561"/>
    <s v="2026-08-12"/>
    <s v="두산"/>
    <s v="한화"/>
    <n v="6002"/>
    <n v="7002"/>
    <n v="71.06"/>
    <n v="0.71055203502423103"/>
    <x v="5"/>
    <n v="0.71055203502423103"/>
    <x v="0"/>
    <x v="0"/>
    <n v="0.504884194477076"/>
    <n v="0"/>
    <n v="0"/>
  </r>
  <r>
    <n v="20260562"/>
    <s v="2026-08-12"/>
    <s v="키움"/>
    <s v="LG"/>
    <n v="10001"/>
    <n v="5002"/>
    <n v="39.61"/>
    <n v="0.39609531733421821"/>
    <x v="5"/>
    <n v="0.60390468266578179"/>
    <x v="2"/>
    <x v="1"/>
    <n v="0.15689150041409503"/>
    <n v="1"/>
    <n v="0"/>
  </r>
  <r>
    <n v="20260563"/>
    <s v="2026-08-12"/>
    <s v="SSG"/>
    <s v="롯데"/>
    <n v="9002"/>
    <n v="3001"/>
    <n v="48.51"/>
    <n v="0.48505624686332771"/>
    <x v="5"/>
    <n v="0.51494375313667229"/>
    <x v="3"/>
    <x v="1"/>
    <n v="0.23527956262113753"/>
    <n v="1"/>
    <n v="0"/>
  </r>
  <r>
    <n v="20260564"/>
    <s v="2026-08-12"/>
    <s v="KIA"/>
    <s v="삼성"/>
    <n v="2002"/>
    <n v="1001"/>
    <n v="79.8"/>
    <n v="0.79797135334653546"/>
    <x v="5"/>
    <n v="0.79797135334653546"/>
    <x v="0"/>
    <x v="0"/>
    <n v="4.0815574068630428E-2"/>
    <n v="1"/>
    <n v="1"/>
  </r>
  <r>
    <n v="20260565"/>
    <s v="2026-08-12"/>
    <s v="NC"/>
    <s v="KT"/>
    <n v="11001"/>
    <n v="12001"/>
    <n v="42.91"/>
    <n v="0.42910980742311378"/>
    <x v="5"/>
    <n v="0.57089019257688622"/>
    <x v="4"/>
    <x v="1"/>
    <n v="0.1841352268267018"/>
    <n v="1"/>
    <n v="0"/>
  </r>
  <r>
    <n v="20260566"/>
    <s v="2026-08-13"/>
    <s v="두산"/>
    <s v="한화"/>
    <n v="6002"/>
    <n v="7002"/>
    <n v="55.43"/>
    <n v="0.55430185578591085"/>
    <x v="5"/>
    <n v="0.55430185578591085"/>
    <x v="4"/>
    <x v="0"/>
    <n v="0.19864683575588302"/>
    <n v="1"/>
    <n v="1"/>
  </r>
  <r>
    <n v="20260567"/>
    <s v="2026-08-13"/>
    <s v="키움"/>
    <s v="LG"/>
    <n v="10001"/>
    <n v="5002"/>
    <n v="57.89"/>
    <n v="0.57887858837215311"/>
    <x v="5"/>
    <n v="0.57887858837215311"/>
    <x v="4"/>
    <x v="0"/>
    <n v="0.3351004200757367"/>
    <n v="0"/>
    <n v="0"/>
  </r>
  <r>
    <n v="20260568"/>
    <s v="2026-08-13"/>
    <s v="SSG"/>
    <s v="롯데"/>
    <n v="9002"/>
    <n v="3001"/>
    <n v="37.5"/>
    <n v="0.37498626221709358"/>
    <x v="5"/>
    <n v="0.62501373778290636"/>
    <x v="2"/>
    <x v="1"/>
    <n v="0.39064217241735966"/>
    <n v="0"/>
    <n v="1"/>
  </r>
  <r>
    <n v="20260569"/>
    <s v="2026-08-13"/>
    <s v="KIA"/>
    <s v="삼성"/>
    <n v="2002"/>
    <n v="1001"/>
    <n v="39.32"/>
    <n v="0.39315670713233458"/>
    <x v="5"/>
    <n v="0.60684329286766547"/>
    <x v="2"/>
    <x v="1"/>
    <n v="0.36825878209847118"/>
    <n v="0"/>
    <n v="1"/>
  </r>
  <r>
    <n v="20260570"/>
    <s v="2026-08-13"/>
    <s v="NC"/>
    <s v="KT"/>
    <n v="11001"/>
    <n v="12001"/>
    <n v="43.63"/>
    <n v="0.43629075177340459"/>
    <x v="5"/>
    <n v="0.56370924822659541"/>
    <x v="4"/>
    <x v="1"/>
    <n v="0.19034962008300255"/>
    <n v="1"/>
    <n v="0"/>
  </r>
  <r>
    <n v="20260571"/>
    <s v="2026-08-14"/>
    <s v="LG"/>
    <s v="SSG"/>
    <n v="5002"/>
    <n v="9002"/>
    <n v="51.79"/>
    <n v="0.51789452901179578"/>
    <x v="5"/>
    <n v="0.51789452901179578"/>
    <x v="3"/>
    <x v="0"/>
    <n v="0.26821474318034977"/>
    <n v="0"/>
    <n v="0"/>
  </r>
  <r>
    <n v="20260572"/>
    <s v="2026-08-14"/>
    <s v="KT"/>
    <s v="키움"/>
    <n v="12001"/>
    <n v="10001"/>
    <n v="65.06"/>
    <n v="0.65055820313373902"/>
    <x v="5"/>
    <n v="0.65055820313373902"/>
    <x v="1"/>
    <x v="0"/>
    <n v="0.1221095693971212"/>
    <n v="1"/>
    <n v="1"/>
  </r>
  <r>
    <n v="20260573"/>
    <s v="2026-08-14"/>
    <s v="삼성"/>
    <s v="한화"/>
    <n v="1001"/>
    <n v="7002"/>
    <n v="59.21"/>
    <n v="0.59205317964102211"/>
    <x v="5"/>
    <n v="0.59205317964102211"/>
    <x v="4"/>
    <x v="0"/>
    <n v="0.16642060824100019"/>
    <n v="1"/>
    <n v="1"/>
  </r>
  <r>
    <n v="20260574"/>
    <s v="2026-08-14"/>
    <s v="KIA"/>
    <s v="두산"/>
    <n v="2002"/>
    <n v="6002"/>
    <n v="38.08"/>
    <n v="0.38078142613839772"/>
    <x v="5"/>
    <n v="0.61921857386160228"/>
    <x v="2"/>
    <x v="1"/>
    <n v="0.3834316422151966"/>
    <n v="0"/>
    <n v="1"/>
  </r>
  <r>
    <n v="20260575"/>
    <s v="2026-08-14"/>
    <s v="롯데"/>
    <s v="NC"/>
    <n v="3001"/>
    <n v="11001"/>
    <n v="56.63"/>
    <n v="0.56628872881929726"/>
    <x v="5"/>
    <n v="0.56628872881929726"/>
    <x v="4"/>
    <x v="0"/>
    <n v="0.32068292438777557"/>
    <n v="0"/>
    <n v="0"/>
  </r>
  <r>
    <n v="20260576"/>
    <s v="2026-08-15"/>
    <s v="LG"/>
    <s v="SSG"/>
    <n v="5002"/>
    <n v="9002"/>
    <n v="64.77"/>
    <n v="0.64766989758886817"/>
    <x v="5"/>
    <n v="0.64766989758886817"/>
    <x v="2"/>
    <x v="0"/>
    <n v="0.12413650106503864"/>
    <n v="1"/>
    <n v="1"/>
  </r>
  <r>
    <n v="20260577"/>
    <s v="2026-08-15"/>
    <s v="KT"/>
    <s v="키움"/>
    <n v="12001"/>
    <n v="10001"/>
    <n v="56.77"/>
    <n v="0.56768599972480382"/>
    <x v="5"/>
    <n v="0.56768599972480382"/>
    <x v="4"/>
    <x v="0"/>
    <n v="0.32226739428354995"/>
    <n v="0"/>
    <n v="0"/>
  </r>
  <r>
    <n v="20260578"/>
    <s v="2026-08-15"/>
    <s v="삼성"/>
    <s v="한화"/>
    <n v="1001"/>
    <n v="7002"/>
    <n v="51.79"/>
    <n v="0.51794859254251102"/>
    <x v="5"/>
    <n v="0.51794859254251102"/>
    <x v="3"/>
    <x v="0"/>
    <n v="0.23237355943174606"/>
    <n v="1"/>
    <n v="1"/>
  </r>
  <r>
    <n v="20260579"/>
    <s v="2026-08-15"/>
    <s v="KIA"/>
    <s v="두산"/>
    <n v="2002"/>
    <n v="6002"/>
    <n v="45.69"/>
    <n v="0.4569392173402847"/>
    <x v="5"/>
    <n v="0.54306078265971536"/>
    <x v="3"/>
    <x v="1"/>
    <n v="0.20879344834355187"/>
    <n v="1"/>
    <n v="0"/>
  </r>
  <r>
    <n v="20260580"/>
    <s v="2026-08-15"/>
    <s v="롯데"/>
    <s v="NC"/>
    <n v="3001"/>
    <n v="11001"/>
    <n v="63.87"/>
    <n v="0.63867453824396592"/>
    <x v="5"/>
    <n v="0.63867453824396592"/>
    <x v="2"/>
    <x v="0"/>
    <n v="0.13055608931321125"/>
    <n v="1"/>
    <n v="1"/>
  </r>
  <r>
    <n v="20260581"/>
    <s v="2026-08-16"/>
    <s v="LG"/>
    <s v="SSG"/>
    <n v="5002"/>
    <n v="9002"/>
    <n v="75.680000000000007"/>
    <n v="0.75675982712899792"/>
    <x v="5"/>
    <n v="0.75675982712899792"/>
    <x v="0"/>
    <x v="0"/>
    <n v="0.57268543595631083"/>
    <n v="0"/>
    <n v="0"/>
  </r>
  <r>
    <n v="20260582"/>
    <s v="2026-08-16"/>
    <s v="KT"/>
    <s v="키움"/>
    <n v="12001"/>
    <n v="10001"/>
    <n v="74.88"/>
    <n v="0.74879177748662129"/>
    <x v="5"/>
    <n v="0.74879177748662129"/>
    <x v="0"/>
    <x v="0"/>
    <n v="6.3105571058331186E-2"/>
    <n v="1"/>
    <n v="1"/>
  </r>
  <r>
    <n v="20260583"/>
    <s v="2026-08-16"/>
    <s v="삼성"/>
    <s v="한화"/>
    <n v="1001"/>
    <n v="7002"/>
    <n v="57.96"/>
    <n v="0.57962608001709015"/>
    <x v="5"/>
    <n v="0.57962608001709015"/>
    <x v="4"/>
    <x v="0"/>
    <s v=""/>
    <s v="cancel"/>
    <s v=""/>
  </r>
  <r>
    <n v="20260584"/>
    <s v="2026-08-16"/>
    <s v="KIA"/>
    <s v="두산"/>
    <n v="2002"/>
    <n v="6002"/>
    <n v="36.36"/>
    <n v="0.3635974236127269"/>
    <x v="5"/>
    <n v="0.63640257638727316"/>
    <x v="2"/>
    <x v="1"/>
    <n v="0.13220308645781273"/>
    <n v="1"/>
    <n v="0"/>
  </r>
  <r>
    <n v="20260585"/>
    <s v="2026-08-16"/>
    <s v="롯데"/>
    <s v="NC"/>
    <n v="3001"/>
    <n v="11001"/>
    <n v="41.9"/>
    <n v="0.41903531708409059"/>
    <x v="5"/>
    <n v="0.58096468291590941"/>
    <x v="4"/>
    <x v="1"/>
    <s v=""/>
    <s v="cancel"/>
    <s v=""/>
  </r>
  <r>
    <n v="20260586"/>
    <s v="2026-08-18"/>
    <s v="LG"/>
    <s v="KT"/>
    <n v="5002"/>
    <n v="12001"/>
    <n v="36.83"/>
    <n v="0.36825507110894379"/>
    <x v="5"/>
    <n v="0.63174492889105616"/>
    <x v="2"/>
    <x v="1"/>
    <n v="0.1356117973974533"/>
    <n v="1"/>
    <n v="0"/>
  </r>
  <r>
    <n v="20260587"/>
    <s v="2026-08-18"/>
    <s v="한화"/>
    <s v="KIA"/>
    <n v="7002"/>
    <n v="2002"/>
    <n v="45.37"/>
    <n v="0.45365463963979979"/>
    <x v="5"/>
    <n v="0.54634536036020021"/>
    <x v="3"/>
    <x v="1"/>
    <n v="0.29849325278711702"/>
    <n v="0"/>
    <n v="1"/>
  </r>
  <r>
    <n v="20260588"/>
    <s v="2026-08-18"/>
    <s v="삼성"/>
    <s v="SSG"/>
    <n v="1001"/>
    <n v="9002"/>
    <n v="60.44"/>
    <n v="0.60437442804010177"/>
    <x v="5"/>
    <n v="0.60437442804010177"/>
    <x v="2"/>
    <x v="0"/>
    <n v="0.36526844926880014"/>
    <n v="0"/>
    <n v="0"/>
  </r>
  <r>
    <n v="20260589"/>
    <s v="2026-08-18"/>
    <s v="롯데"/>
    <s v="키움"/>
    <n v="3001"/>
    <n v="10001"/>
    <n v="71.81"/>
    <n v="0.71811349159985993"/>
    <x v="5"/>
    <n v="0.71811349159985993"/>
    <x v="0"/>
    <x v="0"/>
    <n v="7.9460003618022232E-2"/>
    <n v="1"/>
    <n v="1"/>
  </r>
  <r>
    <n v="20260590"/>
    <s v="2026-08-18"/>
    <s v="NC"/>
    <s v="두산"/>
    <n v="11001"/>
    <n v="6002"/>
    <n v="48.82"/>
    <n v="0.48817691977682931"/>
    <x v="5"/>
    <n v="0.51182308022317069"/>
    <x v="3"/>
    <x v="1"/>
    <n v="0.26196286544913422"/>
    <n v="0"/>
    <n v="1"/>
  </r>
  <r>
    <n v="20260596"/>
    <s v="2026-08-20"/>
    <s v="LG"/>
    <s v="KT"/>
    <n v="5002"/>
    <n v="12001"/>
    <n v="40.590000000000003"/>
    <n v="0.40586857078639549"/>
    <x v="5"/>
    <n v="0.59413142921360451"/>
    <x v="4"/>
    <x v="1"/>
    <n v="0.35299215517940036"/>
    <n v="0"/>
    <n v="1"/>
  </r>
  <r>
    <n v="20260597"/>
    <s v="2026-08-20"/>
    <s v="한화"/>
    <s v="KIA"/>
    <n v="7002"/>
    <n v="2002"/>
    <n v="56.71"/>
    <n v="0.56708396499773772"/>
    <x v="5"/>
    <n v="0.56708396499773772"/>
    <x v="4"/>
    <x v="0"/>
    <n v="0.32158422335755543"/>
    <n v="0"/>
    <n v="0"/>
  </r>
  <r>
    <n v="20260598"/>
    <s v="2026-08-20"/>
    <s v="삼성"/>
    <s v="SSG"/>
    <n v="1001"/>
    <n v="9002"/>
    <n v="54.15"/>
    <n v="0.54145928002736976"/>
    <x v="5"/>
    <n v="0.54145928002736976"/>
    <x v="3"/>
    <x v="0"/>
    <n v="0.29317815192775765"/>
    <n v="0"/>
    <n v="0"/>
  </r>
  <r>
    <n v="20260599"/>
    <s v="2026-08-20"/>
    <s v="롯데"/>
    <s v="키움"/>
    <n v="3001"/>
    <n v="10001"/>
    <n v="58.24"/>
    <n v="0.58240635798485396"/>
    <x v="5"/>
    <n v="0.58240635798485396"/>
    <x v="4"/>
    <x v="0"/>
    <n v="0.17438444985147394"/>
    <n v="1"/>
    <n v="1"/>
  </r>
  <r>
    <n v="20260600"/>
    <s v="2026-08-20"/>
    <s v="NC"/>
    <s v="두산"/>
    <n v="11001"/>
    <n v="6002"/>
    <n v="44.65"/>
    <n v="0.44646582707647442"/>
    <x v="5"/>
    <n v="0.55353417292352558"/>
    <x v="4"/>
    <x v="1"/>
    <n v="0.19933173474708035"/>
    <n v="1"/>
    <n v="0"/>
  </r>
  <r>
    <n v="20260601"/>
    <s v="2026-08-21"/>
    <s v="두산"/>
    <s v="롯데"/>
    <n v="6002"/>
    <n v="3001"/>
    <n v="42.52"/>
    <n v="0.42516813171775092"/>
    <x v="5"/>
    <n v="0.57483186828224908"/>
    <x v="4"/>
    <x v="1"/>
    <n v="0.33043167679286095"/>
    <n v="0"/>
    <n v="1"/>
  </r>
  <r>
    <n v="20260602"/>
    <s v="2026-08-21"/>
    <s v="키움"/>
    <s v="KIA"/>
    <n v="10001"/>
    <n v="2002"/>
    <n v="48.39"/>
    <n v="0.48386921232711888"/>
    <x v="5"/>
    <n v="0.51613078767288112"/>
    <x v="3"/>
    <x v="1"/>
    <n v="0.26639098998382871"/>
    <n v="0"/>
    <n v="1"/>
  </r>
  <r>
    <n v="20260603"/>
    <s v="2026-08-21"/>
    <s v="SSG"/>
    <s v="KT"/>
    <n v="9002"/>
    <n v="12001"/>
    <n v="35.61"/>
    <n v="0.35608477511674652"/>
    <x v="5"/>
    <n v="0.64391522488325348"/>
    <x v="2"/>
    <x v="1"/>
    <s v=""/>
    <s v="draw"/>
    <s v=""/>
  </r>
  <r>
    <n v="20260604"/>
    <s v="2026-08-21"/>
    <s v="한화"/>
    <s v="LG"/>
    <n v="7002"/>
    <n v="5002"/>
    <n v="31.98"/>
    <n v="0.3198277542559283"/>
    <x v="5"/>
    <n v="0.68017224574407176"/>
    <x v="1"/>
    <x v="1"/>
    <n v="0.10228979239239043"/>
    <n v="1"/>
    <n v="0"/>
  </r>
  <r>
    <n v="20260605"/>
    <s v="2026-08-21"/>
    <s v="NC"/>
    <s v="삼성"/>
    <n v="11001"/>
    <n v="1001"/>
    <n v="38.21"/>
    <n v="0.38210155234980819"/>
    <x v="5"/>
    <n v="0.61789844765019186"/>
    <x v="2"/>
    <x v="1"/>
    <n v="0.14600159630813317"/>
    <n v="1"/>
    <n v="0"/>
  </r>
  <r>
    <n v="20260607"/>
    <s v="2026-08-22"/>
    <s v="키움"/>
    <s v="KIA"/>
    <n v="10001"/>
    <n v="2002"/>
    <n v="45.31"/>
    <n v="0.45310834384337478"/>
    <x v="5"/>
    <n v="0.54689165615662527"/>
    <x v="3"/>
    <x v="1"/>
    <n v="0.20530717126048589"/>
    <n v="1"/>
    <n v="0"/>
  </r>
  <r>
    <n v="20260606"/>
    <s v="2026-08-22"/>
    <s v="두산"/>
    <s v="롯데"/>
    <n v="6002"/>
    <n v="3001"/>
    <n v="63.51"/>
    <n v="0.63512866404193269"/>
    <x v="5"/>
    <n v="0.63512866404193269"/>
    <x v="2"/>
    <x v="0"/>
    <s v=""/>
    <s v="cancel"/>
    <s v=""/>
  </r>
  <r>
    <n v="20260608"/>
    <s v="2026-08-22"/>
    <s v="SSG"/>
    <s v="KT"/>
    <n v="9002"/>
    <n v="12001"/>
    <n v="61.6"/>
    <n v="0.61597716949804238"/>
    <x v="5"/>
    <n v="0.61597716949804238"/>
    <x v="2"/>
    <x v="0"/>
    <s v=""/>
    <s v="cancel"/>
    <s v=""/>
  </r>
  <r>
    <n v="20260609"/>
    <s v="2026-08-22"/>
    <s v="한화"/>
    <s v="LG"/>
    <n v="7002"/>
    <n v="5002"/>
    <n v="38.950000000000003"/>
    <n v="0.38953275124201792"/>
    <x v="5"/>
    <n v="0.61046724875798208"/>
    <x v="2"/>
    <x v="1"/>
    <s v=""/>
    <s v="cancel"/>
    <s v=""/>
  </r>
  <r>
    <n v="20260610"/>
    <s v="2026-08-22"/>
    <s v="NC"/>
    <s v="삼성"/>
    <n v="11001"/>
    <n v="1001"/>
    <n v="40.39"/>
    <n v="0.40392303461801249"/>
    <x v="5"/>
    <n v="0.59607696538198751"/>
    <x v="4"/>
    <x v="1"/>
    <n v="0.35530774865899911"/>
    <n v="0"/>
    <n v="1"/>
  </r>
  <r>
    <n v="20260612"/>
    <s v="2026-08-23"/>
    <s v="키움"/>
    <s v="KIA"/>
    <n v="10001"/>
    <n v="2002"/>
    <n v="32.86"/>
    <n v="0.32863301627878172"/>
    <x v="5"/>
    <n v="0.67136698372121828"/>
    <x v="1"/>
    <x v="1"/>
    <n v="0.10799965938849002"/>
    <n v="1"/>
    <n v="0"/>
  </r>
  <r>
    <n v="20260611"/>
    <s v="2026-08-23"/>
    <s v="두산"/>
    <s v="롯데"/>
    <n v="6002"/>
    <n v="3001"/>
    <n v="63.51"/>
    <n v="0.63512944673991611"/>
    <x v="5"/>
    <n v="0.63512944673991611"/>
    <x v="2"/>
    <x v="0"/>
    <n v="0.13313052063631972"/>
    <n v="1"/>
    <n v="1"/>
  </r>
  <r>
    <n v="20260613"/>
    <s v="2026-08-23"/>
    <s v="SSG"/>
    <s v="KT"/>
    <n v="9002"/>
    <n v="12001"/>
    <n v="61.6"/>
    <n v="0.61597637055690591"/>
    <x v="5"/>
    <n v="0.61597637055690591"/>
    <x v="2"/>
    <x v="0"/>
    <n v="0.37942688908445865"/>
    <n v="0"/>
    <n v="0"/>
  </r>
  <r>
    <n v="20260614"/>
    <s v="2026-08-23"/>
    <s v="한화"/>
    <s v="LG"/>
    <n v="7002"/>
    <n v="5002"/>
    <n v="38.950000000000003"/>
    <n v="0.38953275124201792"/>
    <x v="5"/>
    <n v="0.61046724875798208"/>
    <x v="2"/>
    <x v="1"/>
    <n v="0.37267026180613999"/>
    <n v="0"/>
    <n v="1"/>
  </r>
  <r>
    <n v="20260615"/>
    <s v="2026-08-23"/>
    <s v="NC"/>
    <s v="삼성"/>
    <n v="11001"/>
    <n v="1001"/>
    <n v="47.44"/>
    <n v="0.47440241645678299"/>
    <x v="5"/>
    <n v="0.52559758354321695"/>
    <x v="3"/>
    <x v="1"/>
    <n v="0.27625281982646893"/>
    <n v="0"/>
    <n v="1"/>
  </r>
  <r>
    <n v="20260616"/>
    <s v="2026-08-25"/>
    <s v="LG"/>
    <s v="NC"/>
    <n v="5002"/>
    <n v="11001"/>
    <n v="55.07"/>
    <n v="0.55074312394455249"/>
    <x v="7"/>
    <n v="0.55074312394455249"/>
    <x v="4"/>
    <x v="0"/>
    <n v="0.20183174068309973"/>
    <n v="1"/>
    <n v="1"/>
  </r>
  <r>
    <n v="20260617"/>
    <s v="2026-08-25"/>
    <s v="키움"/>
    <s v="삼성"/>
    <n v="10001"/>
    <n v="1001"/>
    <n v="48.04"/>
    <n v="0.4804351324385534"/>
    <x v="7"/>
    <n v="0.5195648675614466"/>
    <x v="3"/>
    <x v="1"/>
    <s v=""/>
    <s v="draw"/>
    <s v=""/>
  </r>
  <r>
    <n v="20260618"/>
    <s v="2026-08-25"/>
    <s v="SSG"/>
    <s v="한화"/>
    <n v="9002"/>
    <n v="7002"/>
    <n v="48.34"/>
    <n v="0.48335706791505728"/>
    <x v="7"/>
    <n v="0.51664293208494272"/>
    <x v="3"/>
    <x v="1"/>
    <n v="0.23363405510344129"/>
    <n v="1"/>
    <n v="0"/>
  </r>
  <r>
    <n v="20260619"/>
    <s v="2026-08-25"/>
    <s v="KT"/>
    <s v="두산"/>
    <n v="12001"/>
    <n v="6002"/>
    <n v="47.77"/>
    <n v="0.47772445050045792"/>
    <x v="7"/>
    <n v="0.52227554949954214"/>
    <x v="3"/>
    <x v="1"/>
    <n v="0.27277174960504869"/>
    <n v="0"/>
    <n v="1"/>
  </r>
  <r>
    <n v="20260620"/>
    <s v="2026-08-25"/>
    <s v="KIA"/>
    <s v="롯데"/>
    <n v="2002"/>
    <n v="3001"/>
    <n v="39.15"/>
    <n v="0.39151720265735968"/>
    <x v="7"/>
    <n v="0.60848279734264032"/>
    <x v="2"/>
    <x v="1"/>
    <n v="0.15328571997664406"/>
    <n v="1"/>
    <n v="0"/>
  </r>
  <r>
    <n v="20260621"/>
    <s v="2026-08-26"/>
    <s v="LG"/>
    <s v="NC"/>
    <n v="5002"/>
    <n v="11001"/>
    <n v="46.08"/>
    <n v="0.46082032697448339"/>
    <x v="7"/>
    <n v="0.53917967302551661"/>
    <x v="3"/>
    <x v="1"/>
    <n v="0.21235537375286978"/>
    <n v="1"/>
    <n v="0"/>
  </r>
  <r>
    <n v="20260622"/>
    <s v="2026-08-26"/>
    <s v="키움"/>
    <s v="삼성"/>
    <n v="10001"/>
    <n v="1001"/>
    <n v="45.04"/>
    <n v="0.45042306674079818"/>
    <x v="7"/>
    <n v="0.54957693325920176"/>
    <x v="3"/>
    <x v="1"/>
    <n v="0.30203480557058909"/>
    <n v="0"/>
    <n v="1"/>
  </r>
  <r>
    <n v="20260623"/>
    <s v="2026-08-26"/>
    <s v="SSG"/>
    <s v="한화"/>
    <n v="9002"/>
    <n v="7002"/>
    <n v="43.11"/>
    <n v="0.43105267638202349"/>
    <x v="7"/>
    <n v="0.56894732361797651"/>
    <x v="4"/>
    <x v="1"/>
    <n v="0.18580640981610547"/>
    <n v="1"/>
    <n v="0"/>
  </r>
  <r>
    <n v="20260624"/>
    <s v="2026-08-26"/>
    <s v="KT"/>
    <s v="두산"/>
    <n v="12001"/>
    <n v="6002"/>
    <n v="52.7"/>
    <n v="0.52698703888617904"/>
    <x v="7"/>
    <n v="0.52698703888617904"/>
    <x v="3"/>
    <x v="0"/>
    <n v="0.22374126138166511"/>
    <n v="1"/>
    <n v="1"/>
  </r>
  <r>
    <n v="20260625"/>
    <s v="2026-08-26"/>
    <s v="KIA"/>
    <s v="롯데"/>
    <n v="2002"/>
    <n v="3001"/>
    <n v="40.799999999999997"/>
    <n v="0.40796300879895281"/>
    <x v="7"/>
    <n v="0.59203699120104725"/>
    <x v="4"/>
    <x v="1"/>
    <n v="0.16643381654829439"/>
    <n v="1"/>
    <n v="0"/>
  </r>
  <r>
    <n v="20260626"/>
    <s v="2026-08-27"/>
    <s v="LG"/>
    <s v="NC"/>
    <n v="5002"/>
    <n v="11001"/>
    <n v="53.84"/>
    <n v="0.53836557847808419"/>
    <x v="7"/>
    <n v="0.53836557847808419"/>
    <x v="3"/>
    <x v="0"/>
    <n v="0.28983749609004222"/>
    <n v="0"/>
    <n v="0"/>
  </r>
  <r>
    <n v="20260627"/>
    <s v="2026-08-27"/>
    <s v="키움"/>
    <s v="삼성"/>
    <n v="10001"/>
    <n v="1001"/>
    <n v="43.07"/>
    <n v="0.43066757807917783"/>
    <x v="7"/>
    <n v="0.56933242192082223"/>
    <x v="4"/>
    <x v="1"/>
    <n v="0.32413940665022917"/>
    <n v="0"/>
    <n v="1"/>
  </r>
  <r>
    <n v="20260628"/>
    <s v="2026-08-27"/>
    <s v="SSG"/>
    <s v="한화"/>
    <n v="9002"/>
    <n v="7002"/>
    <n v="80.37"/>
    <n v="0.80370143581272657"/>
    <x v="7"/>
    <n v="0.80370143581272657"/>
    <x v="0"/>
    <x v="0"/>
    <n v="3.8533126301985104E-2"/>
    <n v="1"/>
    <n v="1"/>
  </r>
  <r>
    <n v="20260629"/>
    <s v="2026-08-27"/>
    <s v="KT"/>
    <s v="두산"/>
    <n v="12001"/>
    <n v="6002"/>
    <n v="64.72"/>
    <n v="0.64718056785785361"/>
    <x v="7"/>
    <n v="0.64718056785785361"/>
    <x v="2"/>
    <x v="0"/>
    <n v="0.12448155169710665"/>
    <n v="1"/>
    <n v="1"/>
  </r>
  <r>
    <n v="20260630"/>
    <s v="2026-08-27"/>
    <s v="KIA"/>
    <s v="롯데"/>
    <n v="2002"/>
    <n v="3001"/>
    <n v="44.57"/>
    <n v="0.44567783607483202"/>
    <x v="7"/>
    <n v="0.55432216392516798"/>
    <x v="4"/>
    <x v="1"/>
    <s v=""/>
    <s v="cancel"/>
    <s v=""/>
  </r>
  <r>
    <n v="20260646"/>
    <s v="2026-09-01"/>
    <s v="두산"/>
    <s v="LG"/>
    <n v="6002"/>
    <n v="5002"/>
    <n v="57.82"/>
    <n v="0.57822462727803803"/>
    <x v="7"/>
    <n v="0.57822462727803803"/>
    <x v="4"/>
    <x v="0"/>
    <n v="0.33434371959082598"/>
    <n v="0"/>
    <n v="0"/>
  </r>
  <r>
    <n v="20260647"/>
    <s v="2026-09-01"/>
    <s v="키움"/>
    <s v="SSG"/>
    <n v="10001"/>
    <n v="9002"/>
    <n v="51.95"/>
    <n v="0.51949989650439921"/>
    <x v="7"/>
    <n v="0.51949989650439921"/>
    <x v="3"/>
    <x v="0"/>
    <n v="0.26988014246808151"/>
    <n v="0"/>
    <n v="0"/>
  </r>
  <r>
    <n v="20260648"/>
    <s v="2026-09-01"/>
    <s v="KT"/>
    <s v="한화"/>
    <n v="12001"/>
    <n v="7002"/>
    <n v="61.95"/>
    <n v="0.61950227517574541"/>
    <x v="7"/>
    <n v="0.61950227517574541"/>
    <x v="2"/>
    <x v="0"/>
    <n v="0.14477851859643417"/>
    <n v="1"/>
    <n v="1"/>
  </r>
  <r>
    <n v="20260649"/>
    <s v="2026-09-01"/>
    <s v="삼성"/>
    <s v="롯데"/>
    <n v="1001"/>
    <n v="3001"/>
    <n v="49.29"/>
    <n v="0.492937356250855"/>
    <x v="7"/>
    <n v="0.507062643749145"/>
    <x v="3"/>
    <x v="1"/>
    <n v="0.24298723718758233"/>
    <n v="1"/>
    <n v="0"/>
  </r>
  <r>
    <n v="20260650"/>
    <s v="2026-09-01"/>
    <s v="NC"/>
    <s v="KIA"/>
    <n v="11001"/>
    <n v="2002"/>
    <n v="42.75"/>
    <n v="0.42751072950893099"/>
    <x v="7"/>
    <n v="0.57248927049106901"/>
    <x v="4"/>
    <x v="1"/>
    <n v="0.18276542384525835"/>
    <n v="1"/>
    <n v="0"/>
  </r>
  <r>
    <n v="20260651"/>
    <s v="2026-09-02"/>
    <s v="두산"/>
    <s v="LG"/>
    <n v="6002"/>
    <n v="5002"/>
    <n v="48.76"/>
    <n v="0.48760946787578702"/>
    <x v="8"/>
    <n v="0.51239053212421304"/>
    <x v="3"/>
    <x v="1"/>
    <n v="0.26254405741053422"/>
    <n v="0"/>
    <n v="1"/>
  </r>
  <r>
    <n v="20260652"/>
    <s v="2026-09-02"/>
    <s v="키움"/>
    <s v="SSG"/>
    <n v="10001"/>
    <n v="9002"/>
    <n v="46.53"/>
    <n v="0.46526418907800271"/>
    <x v="8"/>
    <n v="0.53473581092199729"/>
    <x v="3"/>
    <x v="1"/>
    <n v="0.28594238748240602"/>
    <n v="0"/>
    <n v="1"/>
  </r>
  <r>
    <n v="20260653"/>
    <s v="2026-09-02"/>
    <s v="KT"/>
    <s v="한화"/>
    <n v="12001"/>
    <n v="7002"/>
    <n v="59.2"/>
    <n v="0.59199561730260153"/>
    <x v="8"/>
    <n v="0.59199561730260153"/>
    <x v="4"/>
    <x v="0"/>
    <n v="0.16646757630028519"/>
    <n v="1"/>
    <n v="1"/>
  </r>
  <r>
    <n v="20260654"/>
    <s v="2026-09-02"/>
    <s v="삼성"/>
    <s v="롯데"/>
    <n v="1001"/>
    <n v="3001"/>
    <n v="47.11"/>
    <n v="0.47111570966338318"/>
    <x v="8"/>
    <n v="0.52888429033661677"/>
    <x v="3"/>
    <x v="1"/>
    <n v="0.22195001189163321"/>
    <n v="1"/>
    <n v="0"/>
  </r>
  <r>
    <n v="20260655"/>
    <s v="2026-09-02"/>
    <s v="NC"/>
    <s v="KIA"/>
    <n v="11001"/>
    <n v="2002"/>
    <n v="46.59"/>
    <n v="0.46585709608896952"/>
    <x v="8"/>
    <n v="0.53414290391103059"/>
    <x v="3"/>
    <x v="1"/>
    <n v="0.21702283397644728"/>
    <n v="1"/>
    <n v="0"/>
  </r>
  <r>
    <n v="20260656"/>
    <s v="2026-09-03"/>
    <s v="두산"/>
    <s v="LG"/>
    <n v="6002"/>
    <n v="5002"/>
    <n v="64.17"/>
    <n v="0.64168799676540167"/>
    <x v="8"/>
    <n v="0.64168799676540167"/>
    <x v="2"/>
    <x v="0"/>
    <n v="0.41176348519279415"/>
    <n v="0"/>
    <n v="0"/>
  </r>
  <r>
    <n v="20260657"/>
    <s v="2026-09-03"/>
    <s v="키움"/>
    <s v="SSG"/>
    <n v="10001"/>
    <n v="9002"/>
    <n v="45.33"/>
    <n v="0.453283704009109"/>
    <x v="8"/>
    <n v="0.546716295990891"/>
    <x v="3"/>
    <x v="1"/>
    <n v="0.20546611632021755"/>
    <n v="1"/>
    <n v="0"/>
  </r>
  <r>
    <n v="20260658"/>
    <s v="2026-09-03"/>
    <s v="KT"/>
    <s v="한화"/>
    <n v="12001"/>
    <n v="7002"/>
    <n v="61.72"/>
    <n v="0.61715758342047455"/>
    <x v="8"/>
    <n v="0.61715758342047455"/>
    <x v="2"/>
    <x v="0"/>
    <n v="0.1465683159324509"/>
    <n v="1"/>
    <n v="1"/>
  </r>
  <r>
    <n v="20260659"/>
    <s v="2026-09-03"/>
    <s v="삼성"/>
    <s v="롯데"/>
    <n v="1001"/>
    <n v="3001"/>
    <n v="55.56"/>
    <n v="0.55561978697136782"/>
    <x v="8"/>
    <n v="0.55561978697136782"/>
    <x v="4"/>
    <x v="0"/>
    <n v="0.30871334767410819"/>
    <n v="0"/>
    <n v="0"/>
  </r>
  <r>
    <n v="20260660"/>
    <s v="2026-09-03"/>
    <s v="NC"/>
    <s v="KIA"/>
    <n v="11001"/>
    <n v="2002"/>
    <n v="45.93"/>
    <n v="0.45929533874328982"/>
    <x v="8"/>
    <n v="0.54070466125671024"/>
    <x v="3"/>
    <x v="1"/>
    <m/>
    <s v="cancel"/>
    <s v=""/>
  </r>
  <r>
    <n v="20260661"/>
    <s v="2026-09-04"/>
    <s v="LG"/>
    <s v="삼성"/>
    <n v="5002"/>
    <n v="1001"/>
    <n v="38.56"/>
    <n v="0.38564301991921129"/>
    <x v="8"/>
    <n v="0.61435698008078865"/>
    <x v="2"/>
    <x v="1"/>
    <m/>
    <n v="1"/>
    <n v="0"/>
  </r>
  <r>
    <n v="20260662"/>
    <s v="2026-09-04"/>
    <s v="키움"/>
    <s v="NC"/>
    <n v="10001"/>
    <n v="11001"/>
    <n v="40.19"/>
    <n v="0.40193391936003892"/>
    <x v="8"/>
    <n v="0.59806608063996114"/>
    <x v="4"/>
    <x v="1"/>
    <m/>
    <n v="0"/>
    <n v="1"/>
  </r>
  <r>
    <n v="20260663"/>
    <s v="2026-09-04"/>
    <s v="SSG"/>
    <s v="두산"/>
    <n v="9002"/>
    <n v="6002"/>
    <n v="66.59"/>
    <n v="0.66588775826658952"/>
    <x v="8"/>
    <n v="0.66588775826658952"/>
    <x v="1"/>
    <x v="0"/>
    <m/>
    <n v="1"/>
    <n v="1"/>
  </r>
  <r>
    <n v="20260664"/>
    <s v="2026-09-04"/>
    <s v="KIA"/>
    <s v="KT"/>
    <n v="2002"/>
    <n v="12001"/>
    <n v="53.55"/>
    <n v="0.53545830736991773"/>
    <x v="8"/>
    <n v="0.53545830736991773"/>
    <x v="3"/>
    <x v="0"/>
    <m/>
    <n v="1"/>
    <n v="1"/>
  </r>
  <r>
    <n v="20260665"/>
    <s v="2026-09-04"/>
    <s v="롯데"/>
    <s v="한화"/>
    <n v="3001"/>
    <n v="7002"/>
    <n v="63.33"/>
    <n v="0.63329193001804662"/>
    <x v="8"/>
    <n v="0.63329193001804662"/>
    <x v="2"/>
    <x v="0"/>
    <m/>
    <n v="0"/>
    <n v="0"/>
  </r>
  <r>
    <n v="20260666"/>
    <s v="2026-09-05"/>
    <s v="LG"/>
    <s v="삼성"/>
    <n v="5002"/>
    <n v="1001"/>
    <n v="54.35"/>
    <n v="0.54347750178705367"/>
    <x v="8"/>
    <n v="0.54347750178705367"/>
    <x v="3"/>
    <x v="0"/>
    <m/>
    <n v="0"/>
    <n v="0"/>
  </r>
  <r>
    <n v="20260667"/>
    <s v="2026-09-05"/>
    <s v="키움"/>
    <s v="NC"/>
    <n v="10001"/>
    <n v="11001"/>
    <n v="40.590000000000003"/>
    <n v="0.40592000776210008"/>
    <x v="8"/>
    <n v="0.59407999223789987"/>
    <x v="4"/>
    <x v="1"/>
    <m/>
    <n v="0"/>
    <n v="1"/>
  </r>
  <r>
    <n v="20260668"/>
    <s v="2026-09-05"/>
    <s v="SSG"/>
    <s v="두산"/>
    <n v="9002"/>
    <n v="6002"/>
    <n v="43.74"/>
    <n v="0.43737937699625778"/>
    <x v="8"/>
    <n v="0.56262062300374216"/>
    <x v="4"/>
    <x v="1"/>
    <m/>
    <n v="1"/>
    <n v="0"/>
  </r>
  <r>
    <n v="20260669"/>
    <s v="2026-09-05"/>
    <s v="KIA"/>
    <s v="KT"/>
    <n v="2002"/>
    <n v="12001"/>
    <n v="42.96"/>
    <n v="0.42960608736420453"/>
    <x v="8"/>
    <n v="0.57039391263579553"/>
    <x v="4"/>
    <x v="1"/>
    <m/>
    <n v="1"/>
    <n v="0"/>
  </r>
  <r>
    <n v="20260670"/>
    <s v="2026-09-05"/>
    <s v="롯데"/>
    <s v="한화"/>
    <n v="3001"/>
    <n v="7002"/>
    <n v="55.34"/>
    <n v="0.55337252135754311"/>
    <x v="8"/>
    <n v="0.55337252135754311"/>
    <x v="4"/>
    <x v="0"/>
    <m/>
    <n v="0"/>
    <n v="0"/>
  </r>
  <r>
    <n v="20260672"/>
    <s v="2026-09-06"/>
    <s v="키움"/>
    <s v="NC"/>
    <n v="10001"/>
    <n v="11001"/>
    <n v="46.99"/>
    <n v="0.46990610925040421"/>
    <x v="8"/>
    <n v="0.53009389074959579"/>
    <x v="3"/>
    <x v="1"/>
    <m/>
    <n v="1"/>
    <n v="0"/>
  </r>
  <r>
    <n v="20260671"/>
    <s v="2026-09-06"/>
    <s v="LG"/>
    <s v="삼성"/>
    <n v="5002"/>
    <n v="1001"/>
    <n v="43.86"/>
    <n v="0.43864716261240982"/>
    <x v="8"/>
    <n v="0.56135283738759023"/>
    <x v="4"/>
    <x v="1"/>
    <m/>
    <n v="0"/>
    <n v="1"/>
  </r>
  <r>
    <n v="20260673"/>
    <s v="2026-09-06"/>
    <s v="SSG"/>
    <s v="두산"/>
    <n v="9002"/>
    <n v="6002"/>
    <n v="44.29"/>
    <n v="0.44287746679952728"/>
    <x v="8"/>
    <n v="0.55712253320047267"/>
    <x v="4"/>
    <x v="1"/>
    <m/>
    <n v="0"/>
    <n v="1"/>
  </r>
  <r>
    <n v="20260674"/>
    <s v="2026-09-06"/>
    <s v="KIA"/>
    <s v="KT"/>
    <n v="2002"/>
    <n v="12001"/>
    <n v="42.06"/>
    <n v="0.42055517307332457"/>
    <x v="8"/>
    <n v="0.57944482692667543"/>
    <x v="4"/>
    <x v="1"/>
    <m/>
    <n v="1"/>
    <n v="0"/>
  </r>
  <r>
    <n v="20260675"/>
    <s v="2026-09-06"/>
    <s v="롯데"/>
    <s v="한화"/>
    <n v="3001"/>
    <n v="7002"/>
    <n v="50.85"/>
    <n v="0.50849161791517905"/>
    <x v="8"/>
    <n v="0.50849161791517905"/>
    <x v="3"/>
    <x v="0"/>
    <m/>
    <n v="0"/>
    <n v="0"/>
  </r>
  <r>
    <n v="20260915"/>
    <s v="2026-09-08"/>
    <s v="LG"/>
    <s v="키움"/>
    <n v="5002"/>
    <n v="10001"/>
    <n v="55.84"/>
    <n v="0.55835347297672988"/>
    <x v="8"/>
    <n v="0.55835347297672988"/>
    <x v="4"/>
    <x v="0"/>
    <m/>
    <n v="0"/>
    <n v="0"/>
  </r>
  <r>
    <n v="20260916"/>
    <s v="2026-09-08"/>
    <s v="KT"/>
    <s v="SSG"/>
    <n v="12001"/>
    <n v="9002"/>
    <n v="58.6"/>
    <n v="0.58604623714879422"/>
    <x v="8"/>
    <n v="0.58604623714879422"/>
    <x v="4"/>
    <x v="0"/>
    <m/>
    <n v="1"/>
    <n v="1"/>
  </r>
  <r>
    <n v="20260917"/>
    <s v="2026-09-08"/>
    <s v="한화"/>
    <s v="두산"/>
    <n v="7002"/>
    <n v="6002"/>
    <n v="57.25"/>
    <n v="0.57251163228402047"/>
    <x v="8"/>
    <n v="0.57251163228402047"/>
    <x v="4"/>
    <x v="0"/>
    <m/>
    <n v="1"/>
    <n v="1"/>
  </r>
  <r>
    <n v="20260918"/>
    <s v="2026-09-08"/>
    <s v="삼성"/>
    <s v="KIA"/>
    <n v="1001"/>
    <n v="2002"/>
    <n v="51.28"/>
    <n v="0.51283094307451327"/>
    <x v="8"/>
    <n v="0.51283094307451327"/>
    <x v="3"/>
    <x v="0"/>
    <m/>
    <n v="1"/>
    <n v="1"/>
  </r>
  <r>
    <n v="20260919"/>
    <s v="2026-09-08"/>
    <s v="NC"/>
    <s v="롯데"/>
    <n v="11001"/>
    <n v="3001"/>
    <n v="51.51"/>
    <n v="0.51512071470137921"/>
    <x v="8"/>
    <n v="0.51512071470137921"/>
    <x v="3"/>
    <x v="0"/>
    <m/>
    <n v="0"/>
    <n v="0"/>
  </r>
  <r>
    <n v="20260920"/>
    <s v="2026-09-09"/>
    <s v="두산"/>
    <s v="SSG"/>
    <n v="6002"/>
    <n v="9002"/>
    <n v="68.739999999999995"/>
    <n v="0.68736361670910051"/>
    <x v="8"/>
    <n v="0.68736361670910051"/>
    <x v="1"/>
    <x v="0"/>
    <m/>
    <n v="0"/>
    <n v="0"/>
  </r>
  <r>
    <n v="20260921"/>
    <s v="2026-09-09"/>
    <s v="한화"/>
    <s v="LG"/>
    <n v="7002"/>
    <n v="5002"/>
    <n v="44.66"/>
    <n v="0.44662882195453352"/>
    <x v="8"/>
    <n v="0.55337117804546654"/>
    <x v="4"/>
    <x v="1"/>
    <m/>
    <n v="1"/>
    <n v="0"/>
  </r>
  <r>
    <n v="20260922"/>
    <s v="2026-09-09"/>
    <s v="삼성"/>
    <s v="KT"/>
    <n v="1001"/>
    <n v="12001"/>
    <n v="47.59"/>
    <n v="0.47592722953984318"/>
    <x v="8"/>
    <n v="0.52407277046015677"/>
    <x v="3"/>
    <x v="1"/>
    <m/>
    <n v="0"/>
    <n v="1"/>
  </r>
  <r>
    <n v="20260923"/>
    <s v="2026-09-09"/>
    <s v="KIA"/>
    <s v="NC"/>
    <n v="2002"/>
    <n v="11001"/>
    <n v="50.93"/>
    <n v="0.50933115693633413"/>
    <x v="8"/>
    <n v="0.50933115693633413"/>
    <x v="3"/>
    <x v="0"/>
    <m/>
    <n v="0"/>
    <n v="0"/>
  </r>
  <r>
    <n v="20260924"/>
    <s v="2026-09-10"/>
    <s v="SSG"/>
    <s v="한화"/>
    <n v="9002"/>
    <n v="7002"/>
    <n v="68.83"/>
    <n v="0.68829721310434433"/>
    <x v="8"/>
    <n v="0.68829721310434433"/>
    <x v="1"/>
    <x v="0"/>
    <m/>
    <n v="1"/>
    <n v="1"/>
  </r>
  <r>
    <n v="20260925"/>
    <s v="2026-09-10"/>
    <s v="KIA"/>
    <s v="NC"/>
    <n v="2002"/>
    <n v="11001"/>
    <n v="46.54"/>
    <n v="0.46538220445612261"/>
    <x v="8"/>
    <n v="0.53461779554387745"/>
    <x v="3"/>
    <x v="1"/>
    <m/>
    <n v="0"/>
    <n v="1"/>
  </r>
  <r>
    <n v="20260926"/>
    <s v="2026-09-10"/>
    <s v="롯데"/>
    <s v="KT"/>
    <n v="3001"/>
    <n v="12001"/>
    <n v="48.32"/>
    <n v="0.48319699909166858"/>
    <x v="8"/>
    <n v="0.51680300090833131"/>
    <x v="3"/>
    <x v="1"/>
    <m/>
    <n v="0"/>
    <n v="1"/>
  </r>
  <r>
    <n v="20261021"/>
    <s v="2026-09-10"/>
    <s v="두산"/>
    <s v="키움"/>
    <n v="6002"/>
    <n v="10001"/>
    <n v="61.58"/>
    <n v="0.61575818650708158"/>
    <x v="8"/>
    <n v="0.61575818650708158"/>
    <x v="2"/>
    <x v="0"/>
    <m/>
    <n v="1"/>
    <n v="1"/>
  </r>
  <r>
    <n v="20260938"/>
    <s v="2026-09-15"/>
    <s v="SSG"/>
    <s v="KIA"/>
    <n v="9002"/>
    <n v="2002"/>
    <n v="56.74"/>
    <n v="0.56738590165512925"/>
    <x v="8"/>
    <n v="0.56738590165512925"/>
    <x v="4"/>
    <x v="0"/>
    <m/>
    <n v="1"/>
    <n v="1"/>
  </r>
  <r>
    <n v="20260939"/>
    <s v="2026-09-15"/>
    <s v="한화"/>
    <s v="KT"/>
    <n v="7002"/>
    <n v="12001"/>
    <n v="40.14"/>
    <n v="0.40136196525811052"/>
    <x v="8"/>
    <n v="0.59863803474188948"/>
    <x v="4"/>
    <x v="1"/>
    <m/>
    <n v="0"/>
    <n v="1"/>
  </r>
  <r>
    <n v="20260940"/>
    <s v="2026-09-15"/>
    <s v="삼성"/>
    <s v="롯데"/>
    <n v="1001"/>
    <n v="3001"/>
    <n v="57.05"/>
    <n v="0.57053386641145087"/>
    <x v="8"/>
    <n v="0.57053386641145087"/>
    <x v="4"/>
    <x v="0"/>
    <m/>
    <n v="1"/>
    <n v="1"/>
  </r>
  <r>
    <n v="20260941"/>
    <s v="2026-09-15"/>
    <s v="NC"/>
    <s v="LG"/>
    <n v="11001"/>
    <n v="5002"/>
    <n v="46.42"/>
    <n v="0.46421580806545543"/>
    <x v="8"/>
    <n v="0.53578419193454463"/>
    <x v="3"/>
    <x v="1"/>
    <m/>
    <n v="0"/>
    <n v="1"/>
  </r>
  <r>
    <n v="20260942"/>
    <s v="2026-09-16"/>
    <s v="두산"/>
    <s v="삼성"/>
    <n v="6002"/>
    <n v="1001"/>
    <n v="47.2"/>
    <n v="0.47202595238772049"/>
    <x v="8"/>
    <n v="0.52797404761227951"/>
    <x v="3"/>
    <x v="1"/>
    <m/>
    <n v="1"/>
    <n v="0"/>
  </r>
  <r>
    <n v="20260943"/>
    <s v="2026-09-16"/>
    <s v="한화"/>
    <s v="KT"/>
    <n v="7002"/>
    <n v="12001"/>
    <n v="44.77"/>
    <n v="0.44773272775630912"/>
    <x v="8"/>
    <n v="0.55226727224369088"/>
    <x v="4"/>
    <x v="1"/>
    <m/>
    <s v="draw"/>
    <s v=""/>
  </r>
  <r>
    <n v="20260944"/>
    <s v="2026-09-16"/>
    <s v="롯데"/>
    <s v="SSG"/>
    <n v="3001"/>
    <n v="9002"/>
    <n v="33.08"/>
    <n v="0.33082261002666191"/>
    <x v="8"/>
    <n v="0.66917738997333809"/>
    <x v="1"/>
    <x v="1"/>
    <m/>
    <n v="0"/>
    <n v="1"/>
  </r>
  <r>
    <n v="20260945"/>
    <s v="2026-09-16"/>
    <s v="NC"/>
    <s v="LG"/>
    <n v="11001"/>
    <n v="5002"/>
    <n v="45.12"/>
    <n v="0.45115064475846528"/>
    <x v="8"/>
    <n v="0.54884935524153466"/>
    <x v="3"/>
    <x v="1"/>
    <m/>
    <n v="0"/>
    <n v="1"/>
  </r>
  <r>
    <n v="20260946"/>
    <s v="2026-09-17"/>
    <s v="KIA"/>
    <s v="키움"/>
    <n v="2002"/>
    <n v="10001"/>
    <n v="58.22"/>
    <n v="0.58224253924424885"/>
    <x v="8"/>
    <n v="0.58224253924424885"/>
    <x v="4"/>
    <x v="0"/>
    <m/>
    <n v="1"/>
    <n v="1"/>
  </r>
  <r>
    <n v="20260947"/>
    <s v="2026-09-17"/>
    <s v="NC"/>
    <s v="SSG"/>
    <n v="11001"/>
    <n v="9002"/>
    <n v="61.33"/>
    <n v="0.61333142061369506"/>
    <x v="8"/>
    <n v="0.61333142061369506"/>
    <x v="2"/>
    <x v="0"/>
    <m/>
    <n v="0"/>
    <n v="0"/>
  </r>
  <r>
    <n v="20260948"/>
    <s v="2026-09-18"/>
    <s v="두산"/>
    <s v="키움"/>
    <n v="6002"/>
    <n v="10001"/>
    <n v="46.72"/>
    <n v="0.46724184798330548"/>
    <x v="8"/>
    <n v="0.53275815201669441"/>
    <x v="3"/>
    <x v="1"/>
    <m/>
    <s v="draw"/>
    <s v=""/>
  </r>
  <r>
    <n v="20260949"/>
    <s v="2026-09-18"/>
    <s v="KT"/>
    <s v="LG"/>
    <n v="12001"/>
    <n v="5002"/>
    <n v="57.78"/>
    <n v="0.5777976097401607"/>
    <x v="8"/>
    <n v="0.5777976097401607"/>
    <x v="4"/>
    <x v="0"/>
    <m/>
    <n v="0"/>
    <n v="0"/>
  </r>
  <r>
    <n v="20260950"/>
    <s v="2026-09-18"/>
    <s v="한화"/>
    <s v="삼성"/>
    <n v="7002"/>
    <n v="1001"/>
    <n v="37.42"/>
    <n v="0.37416044322719122"/>
    <x v="8"/>
    <n v="0.62583955677280878"/>
    <x v="2"/>
    <x v="1"/>
    <m/>
    <n v="0"/>
    <n v="1"/>
  </r>
  <r>
    <n v="20260951"/>
    <s v="2026-09-18"/>
    <s v="롯데"/>
    <s v="NC"/>
    <n v="3001"/>
    <n v="11001"/>
    <n v="57.97"/>
    <n v="0.5797454689886048"/>
    <x v="8"/>
    <n v="0.5797454689886048"/>
    <x v="4"/>
    <x v="0"/>
    <m/>
    <n v="1"/>
    <n v="1"/>
  </r>
  <r>
    <n v="20260952"/>
    <s v="2026-09-19"/>
    <s v="LG"/>
    <s v="한화"/>
    <n v="5002"/>
    <n v="7002"/>
    <n v="49.05"/>
    <n v="0.49045147778569947"/>
    <x v="8"/>
    <n v="0.50954852221430047"/>
    <x v="3"/>
    <x v="1"/>
    <m/>
    <n v="1"/>
    <n v="0"/>
  </r>
  <r>
    <n v="20260953"/>
    <s v="2026-09-19"/>
    <s v="KT"/>
    <s v="두산"/>
    <n v="12001"/>
    <n v="6002"/>
    <n v="64.5"/>
    <n v="0.64497972470517229"/>
    <x v="8"/>
    <n v="0.64497972470517229"/>
    <x v="2"/>
    <x v="0"/>
    <m/>
    <n v="1"/>
    <n v="1"/>
  </r>
  <r>
    <n v="20260954"/>
    <s v="2026-09-19"/>
    <s v="롯데"/>
    <s v="삼성"/>
    <n v="3001"/>
    <n v="1001"/>
    <n v="48.64"/>
    <n v="0.48635463353333153"/>
    <x v="8"/>
    <n v="0.51364536646666847"/>
    <x v="3"/>
    <x v="1"/>
    <m/>
    <n v="1"/>
    <n v="0"/>
  </r>
  <r>
    <n v="20260955"/>
    <s v="2026-09-19"/>
    <s v="NC"/>
    <s v="KIA"/>
    <n v="11001"/>
    <n v="2002"/>
    <n v="41.64"/>
    <n v="0.41639555630612068"/>
    <x v="8"/>
    <n v="0.5836044436938792"/>
    <x v="4"/>
    <x v="1"/>
    <m/>
    <n v="0"/>
    <n v="1"/>
  </r>
  <r>
    <n v="20260961"/>
    <s v="2026-09-22"/>
    <s v="키움"/>
    <s v="두산"/>
    <n v="10001"/>
    <n v="6002"/>
    <n v="35.61"/>
    <n v="0.35611896788688158"/>
    <x v="8"/>
    <n v="0.64388103211311842"/>
    <x v="2"/>
    <x v="1"/>
    <m/>
    <n v="0"/>
    <n v="1"/>
  </r>
  <r>
    <n v="20260962"/>
    <s v="2026-09-22"/>
    <s v="SSG"/>
    <s v="KT"/>
    <n v="9002"/>
    <n v="12001"/>
    <n v="62.77"/>
    <n v="0.62774975742603989"/>
    <x v="8"/>
    <n v="0.62774975742603989"/>
    <x v="2"/>
    <x v="0"/>
    <m/>
    <n v="0"/>
    <n v="0"/>
  </r>
  <r>
    <n v="20260963"/>
    <s v="2026-09-22"/>
    <s v="한화"/>
    <s v="롯데"/>
    <n v="7002"/>
    <n v="3001"/>
    <n v="52.03"/>
    <n v="0.52028241058318658"/>
    <x v="8"/>
    <n v="0.52028241058318658"/>
    <x v="3"/>
    <x v="0"/>
    <m/>
    <n v="0"/>
    <n v="0"/>
  </r>
  <r>
    <n v="20260964"/>
    <s v="2026-09-22"/>
    <s v="삼성"/>
    <s v="NC"/>
    <n v="1001"/>
    <n v="11001"/>
    <n v="63.56"/>
    <n v="0.63562250241345353"/>
    <x v="8"/>
    <n v="0.63562250241345353"/>
    <x v="2"/>
    <x v="0"/>
    <m/>
    <n v="1"/>
    <n v="1"/>
  </r>
  <r>
    <n v="20260965"/>
    <s v="2026-09-23"/>
    <s v="두산"/>
    <s v="KIA"/>
    <n v="6002"/>
    <n v="2002"/>
    <n v="43.62"/>
    <n v="0.4361746600479196"/>
    <x v="8"/>
    <n v="0.5638253399520804"/>
    <x v="4"/>
    <x v="1"/>
    <m/>
    <n v="1"/>
    <n v="0"/>
  </r>
  <r>
    <n v="20260966"/>
    <s v="2026-09-23"/>
    <s v="KT"/>
    <s v="NC"/>
    <n v="12001"/>
    <n v="11001"/>
    <n v="45.13"/>
    <n v="0.45129106878890157"/>
    <x v="8"/>
    <n v="0.54870893121109843"/>
    <x v="3"/>
    <x v="1"/>
    <m/>
    <n v="0"/>
    <n v="1"/>
  </r>
  <r>
    <n v="20260967"/>
    <s v="2026-09-23"/>
    <s v="한화"/>
    <s v="롯데"/>
    <n v="7002"/>
    <n v="3001"/>
    <n v="38.409999999999997"/>
    <n v="0.38414852134490468"/>
    <x v="8"/>
    <n v="0.61585147865509526"/>
    <x v="2"/>
    <x v="1"/>
    <m/>
    <n v="0"/>
    <n v="1"/>
  </r>
  <r>
    <n v="20260971"/>
    <s v="2026-09-25"/>
    <s v="두산"/>
    <s v="롯데"/>
    <n v="6002"/>
    <n v="3001"/>
    <n v="41.54"/>
    <n v="0.41543108888661617"/>
    <x v="8"/>
    <n v="0.58456891111338383"/>
    <x v="4"/>
    <x v="1"/>
    <m/>
    <s v="cancel"/>
    <s v=""/>
  </r>
  <r>
    <n v="20260972"/>
    <s v="2026-09-25"/>
    <s v="SSG"/>
    <s v="삼성"/>
    <n v="9002"/>
    <n v="1001"/>
    <n v="49.85"/>
    <n v="0.49845127344876111"/>
    <x v="8"/>
    <n v="0.50154872655123883"/>
    <x v="3"/>
    <x v="1"/>
    <m/>
    <s v="cancel"/>
    <s v=""/>
  </r>
  <r>
    <n v="20260973"/>
    <s v="2026-09-25"/>
    <s v="NC"/>
    <s v="한화"/>
    <n v="11001"/>
    <n v="7002"/>
    <n v="46.88"/>
    <n v="0.46881472450233508"/>
    <x v="8"/>
    <n v="0.53118527549766492"/>
    <x v="3"/>
    <x v="1"/>
    <m/>
    <n v="1"/>
    <n v="0"/>
  </r>
  <r>
    <n v="20260974"/>
    <s v="2026-09-26"/>
    <s v="KT"/>
    <s v="키움"/>
    <n v="12001"/>
    <n v="10001"/>
    <n v="48.43"/>
    <n v="0.48430453322485012"/>
    <x v="8"/>
    <n v="0.51569546677514988"/>
    <x v="3"/>
    <x v="1"/>
    <m/>
    <n v="0"/>
    <n v="1"/>
  </r>
  <r>
    <n v="20260975"/>
    <s v="2026-09-26"/>
    <s v="KIA"/>
    <s v="LG"/>
    <n v="2002"/>
    <n v="5002"/>
    <n v="49.36"/>
    <n v="0.49355882241901422"/>
    <x v="8"/>
    <n v="0.50644117758098584"/>
    <x v="3"/>
    <x v="1"/>
    <m/>
    <n v="1"/>
    <n v="0"/>
  </r>
  <r>
    <n v="20260976"/>
    <s v="2026-09-26"/>
    <s v="NC"/>
    <s v="한화"/>
    <n v="11001"/>
    <n v="7002"/>
    <n v="53.52"/>
    <n v="0.53521002608669987"/>
    <x v="8"/>
    <n v="0.53521002608669987"/>
    <x v="3"/>
    <x v="0"/>
    <m/>
    <n v="1"/>
    <n v="1"/>
  </r>
  <r>
    <n v="20260977"/>
    <s v="2026-09-27"/>
    <s v="두산"/>
    <s v="KT"/>
    <n v="6002"/>
    <n v="12001"/>
    <n v="33.39"/>
    <n v="0.33390455312616468"/>
    <x v="8"/>
    <n v="0.66609544687383526"/>
    <x v="1"/>
    <x v="1"/>
    <m/>
    <n v="0"/>
    <n v="1"/>
  </r>
  <r>
    <n v="20260978"/>
    <s v="2026-09-27"/>
    <s v="KIA"/>
    <s v="LG"/>
    <n v="2002"/>
    <n v="5002"/>
    <n v="42.49"/>
    <n v="0.42493774895268499"/>
    <x v="8"/>
    <n v="0.57506225104731501"/>
    <x v="4"/>
    <x v="1"/>
    <m/>
    <s v="cancel"/>
    <s v=""/>
  </r>
  <r>
    <n v="20260979"/>
    <s v="2026-09-27"/>
    <s v="롯데"/>
    <s v="한화"/>
    <n v="3001"/>
    <n v="7002"/>
    <n v="57.25"/>
    <n v="0.57247407564817976"/>
    <x v="8"/>
    <n v="0.57247407564817976"/>
    <x v="4"/>
    <x v="0"/>
    <m/>
    <n v="0"/>
    <n v="0"/>
  </r>
  <r>
    <n v="20260980"/>
    <s v="2026-09-27"/>
    <s v="NC"/>
    <s v="키움"/>
    <n v="11001"/>
    <n v="10001"/>
    <n v="31.89"/>
    <n v="0.31891531738338003"/>
    <x v="8"/>
    <n v="0.68108468261662003"/>
    <x v="1"/>
    <x v="1"/>
    <m/>
    <n v="0"/>
    <n v="1"/>
  </r>
  <r>
    <n v="20260981"/>
    <s v="2026-09-29"/>
    <s v="두산"/>
    <s v="NC"/>
    <n v="6002"/>
    <n v="11001"/>
    <n v="71.13"/>
    <n v="0.71133651555185839"/>
    <x v="8"/>
    <n v="0.71133651555185839"/>
    <x v="0"/>
    <x v="0"/>
    <m/>
    <n v="1"/>
    <n v="1"/>
  </r>
  <r>
    <n v="20260982"/>
    <s v="2026-09-29"/>
    <s v="SSG"/>
    <s v="LG"/>
    <n v="9002"/>
    <n v="5002"/>
    <n v="57.3"/>
    <n v="0.57298825004289999"/>
    <x v="8"/>
    <n v="0.57298825004289999"/>
    <x v="4"/>
    <x v="0"/>
    <m/>
    <n v="1"/>
    <n v="1"/>
  </r>
  <r>
    <n v="20260983"/>
    <s v="2026-09-29"/>
    <s v="삼성"/>
    <s v="한화"/>
    <n v="1001"/>
    <n v="7002"/>
    <n v="69.38"/>
    <n v="0.69380675442941231"/>
    <x v="8"/>
    <n v="0.69380675442941231"/>
    <x v="1"/>
    <x v="0"/>
    <m/>
    <n v="1"/>
    <n v="1"/>
  </r>
  <r>
    <n v="20260984"/>
    <s v="2026-09-29"/>
    <s v="KIA"/>
    <s v="KT"/>
    <n v="2002"/>
    <n v="12001"/>
    <n v="56.93"/>
    <n v="0.56932829548069952"/>
    <x v="8"/>
    <n v="0.56932829548069952"/>
    <x v="4"/>
    <x v="0"/>
    <m/>
    <n v="0"/>
    <n v="0"/>
  </r>
  <r>
    <n v="20260985"/>
    <s v="2026-09-29"/>
    <s v="롯데"/>
    <s v="키움"/>
    <n v="3001"/>
    <n v="10001"/>
    <n v="63.18"/>
    <n v="0.63176455592443204"/>
    <x v="8"/>
    <n v="0.63176455592443204"/>
    <x v="2"/>
    <x v="0"/>
    <m/>
    <n v="1"/>
    <n v="1"/>
  </r>
  <r>
    <n v="20260986"/>
    <s v="2026-09-30"/>
    <s v="두산"/>
    <s v="NC"/>
    <n v="6002"/>
    <n v="11001"/>
    <n v="38.9"/>
    <n v="0.38899131089552619"/>
    <x v="8"/>
    <n v="0.61100868910447381"/>
    <x v="2"/>
    <x v="1"/>
    <m/>
    <n v="1"/>
    <n v="0"/>
  </r>
  <r>
    <n v="20260987"/>
    <s v="2026-09-30"/>
    <s v="SSG"/>
    <s v="LG"/>
    <n v="9002"/>
    <n v="5002"/>
    <n v="45.03"/>
    <n v="0.45034292862187092"/>
    <x v="8"/>
    <n v="0.54965707137812914"/>
    <x v="3"/>
    <x v="1"/>
    <m/>
    <n v="1"/>
    <n v="0"/>
  </r>
  <r>
    <n v="20260988"/>
    <s v="2026-09-30"/>
    <s v="삼성"/>
    <s v="한화"/>
    <n v="1001"/>
    <n v="7002"/>
    <n v="59.5"/>
    <n v="0.59497558992833643"/>
    <x v="8"/>
    <n v="0.59497558992833643"/>
    <x v="4"/>
    <x v="0"/>
    <m/>
    <n v="1"/>
    <n v="1"/>
  </r>
  <r>
    <n v="20260989"/>
    <s v="2026-09-30"/>
    <s v="KIA"/>
    <s v="KT"/>
    <n v="2002"/>
    <n v="12001"/>
    <n v="35.26"/>
    <n v="0.35264075198669131"/>
    <x v="8"/>
    <n v="0.64735924801330869"/>
    <x v="2"/>
    <x v="1"/>
    <m/>
    <n v="0"/>
    <n v="1"/>
  </r>
  <r>
    <n v="20260990"/>
    <s v="2026-09-30"/>
    <s v="롯데"/>
    <s v="키움"/>
    <n v="3001"/>
    <n v="10001"/>
    <n v="60.63"/>
    <n v="0.60625170596291023"/>
    <x v="8"/>
    <n v="0.60625170596291023"/>
    <x v="2"/>
    <x v="0"/>
    <m/>
    <n v="1"/>
    <n v="1"/>
  </r>
  <r>
    <n v="20260991"/>
    <s v="2026-10-01"/>
    <s v="두산"/>
    <s v="NC"/>
    <n v="6002"/>
    <n v="11001"/>
    <n v="60.79"/>
    <n v="0.60793842913811191"/>
    <x v="8"/>
    <n v="0.60793842913811191"/>
    <x v="2"/>
    <x v="0"/>
    <m/>
    <n v="1"/>
    <n v="1"/>
  </r>
  <r>
    <n v="20260992"/>
    <s v="2026-10-01"/>
    <s v="SSG"/>
    <s v="LG"/>
    <n v="9002"/>
    <n v="5002"/>
    <n v="52.65"/>
    <n v="0.52649750035582299"/>
    <x v="8"/>
    <n v="0.52649750035582299"/>
    <x v="3"/>
    <x v="0"/>
    <m/>
    <n v="1"/>
    <n v="1"/>
  </r>
  <r>
    <n v="20260993"/>
    <s v="2026-10-01"/>
    <s v="삼성"/>
    <s v="한화"/>
    <n v="1001"/>
    <n v="7002"/>
    <n v="57.07"/>
    <n v="0.57066708511541542"/>
    <x v="8"/>
    <n v="0.57066708511541542"/>
    <x v="4"/>
    <x v="0"/>
    <m/>
    <n v="1"/>
    <n v="1"/>
  </r>
  <r>
    <n v="20260994"/>
    <s v="2026-10-01"/>
    <s v="KIA"/>
    <s v="KT"/>
    <n v="2002"/>
    <n v="12001"/>
    <n v="42.85"/>
    <n v="0.42850792781022801"/>
    <x v="8"/>
    <n v="0.57149207218977205"/>
    <x v="4"/>
    <x v="1"/>
    <m/>
    <n v="0"/>
    <n v="1"/>
  </r>
  <r>
    <n v="20260995"/>
    <s v="2026-10-03"/>
    <s v="LG"/>
    <s v="KIA"/>
    <n v="5002"/>
    <n v="2002"/>
    <n v="47.06"/>
    <n v="0.47057750354249539"/>
    <x v="8"/>
    <n v="0.52942249645750461"/>
    <x v="3"/>
    <x v="1"/>
    <m/>
    <n v="0"/>
    <n v="1"/>
  </r>
  <r>
    <n v="20260996"/>
    <s v="2026-10-03"/>
    <s v="KT"/>
    <s v="롯데"/>
    <n v="12001"/>
    <n v="3001"/>
    <n v="52.73"/>
    <n v="0.52731872653835399"/>
    <x v="8"/>
    <n v="0.52731872653835399"/>
    <x v="3"/>
    <x v="0"/>
    <m/>
    <n v="1"/>
    <n v="1"/>
  </r>
  <r>
    <n v="20260997"/>
    <s v="2026-10-03"/>
    <s v="한화"/>
    <s v="키움"/>
    <n v="7002"/>
    <n v="10001"/>
    <n v="48.78"/>
    <n v="0.48783605346773667"/>
    <x v="8"/>
    <n v="0.51216394653226338"/>
    <x v="3"/>
    <x v="1"/>
    <m/>
    <n v="0"/>
    <n v="1"/>
  </r>
  <r>
    <n v="20260998"/>
    <s v="2026-10-03"/>
    <s v="삼성"/>
    <s v="두산"/>
    <n v="1001"/>
    <n v="6002"/>
    <n v="56.29"/>
    <n v="0.56291445516966276"/>
    <x v="8"/>
    <n v="0.56291445516966276"/>
    <x v="4"/>
    <x v="0"/>
    <m/>
    <n v="1"/>
    <n v="1"/>
  </r>
  <r>
    <n v="20260999"/>
    <s v="2026-10-03"/>
    <s v="NC"/>
    <s v="SSG"/>
    <n v="11001"/>
    <n v="9002"/>
    <n v="49.8"/>
    <n v="0.49799086139516208"/>
    <x v="8"/>
    <n v="0.50200913860483798"/>
    <x v="3"/>
    <x v="1"/>
    <m/>
    <n v="1"/>
    <n v="0"/>
  </r>
  <r>
    <n v="20261000"/>
    <s v="2026-10-04"/>
    <s v="LG"/>
    <s v="KIA"/>
    <n v="5002"/>
    <n v="2002"/>
    <n v="36.94"/>
    <n v="0.36943257099466908"/>
    <x v="8"/>
    <n v="0.63056742900533092"/>
    <x v="2"/>
    <x v="1"/>
    <m/>
    <n v="0"/>
    <n v="1"/>
  </r>
  <r>
    <n v="20261002"/>
    <s v="2026-10-04"/>
    <s v="한화"/>
    <s v="키움"/>
    <n v="7002"/>
    <n v="10001"/>
    <n v="30.64"/>
    <n v="0.30644629231537007"/>
    <x v="8"/>
    <n v="0.69355370768462987"/>
    <x v="1"/>
    <x v="1"/>
    <m/>
    <n v="0"/>
    <n v="1"/>
  </r>
  <r>
    <n v="20261003"/>
    <s v="2026-10-04"/>
    <s v="삼성"/>
    <s v="두산"/>
    <n v="1001"/>
    <n v="6002"/>
    <n v="49.77"/>
    <n v="0.49773777968382982"/>
    <x v="8"/>
    <n v="0.50226222031617018"/>
    <x v="3"/>
    <x v="1"/>
    <m/>
    <n v="0"/>
    <n v="1"/>
  </r>
  <r>
    <n v="20261004"/>
    <s v="2026-10-04"/>
    <s v="NC"/>
    <s v="SSG"/>
    <n v="11001"/>
    <n v="9002"/>
    <n v="46.32"/>
    <n v="0.46320588222488401"/>
    <x v="8"/>
    <n v="0.53679411777511599"/>
    <x v="3"/>
    <x v="1"/>
    <m/>
    <n v="0"/>
    <n v="1"/>
  </r>
  <r>
    <n v="20261001"/>
    <s v="2026-10-04"/>
    <s v="KT"/>
    <s v="롯데"/>
    <n v="12001"/>
    <n v="3001"/>
    <n v="50.61"/>
    <n v="0.5060706237476299"/>
    <x v="8"/>
    <n v="0.5060706237476299"/>
    <x v="3"/>
    <x v="0"/>
    <m/>
    <s v="draw"/>
    <s v=""/>
  </r>
  <r>
    <n v="20261005"/>
    <s v="2026-10-05"/>
    <s v="LG"/>
    <s v="KIA"/>
    <n v="5002"/>
    <n v="2002"/>
    <n v="41.12"/>
    <n v="0.41116435029509218"/>
    <x v="8"/>
    <n v="0.58883564970490776"/>
    <x v="4"/>
    <x v="1"/>
    <m/>
    <n v="0"/>
    <n v="1"/>
  </r>
  <r>
    <n v="20261006"/>
    <s v="2026-10-05"/>
    <s v="KT"/>
    <s v="롯데"/>
    <n v="12001"/>
    <n v="3001"/>
    <n v="50.91"/>
    <n v="0.50913792750322395"/>
    <x v="8"/>
    <n v="0.50913792750322395"/>
    <x v="3"/>
    <x v="0"/>
    <m/>
    <n v="1"/>
    <n v="1"/>
  </r>
  <r>
    <n v="20261007"/>
    <s v="2026-10-05"/>
    <s v="한화"/>
    <s v="키움"/>
    <n v="7002"/>
    <n v="10001"/>
    <n v="38.57"/>
    <n v="0.38569412691232258"/>
    <x v="8"/>
    <n v="0.61430587308767737"/>
    <x v="2"/>
    <x v="1"/>
    <m/>
    <n v="1"/>
    <n v="0"/>
  </r>
  <r>
    <n v="20261008"/>
    <s v="2026-10-05"/>
    <s v="삼성"/>
    <s v="두산"/>
    <n v="1001"/>
    <n v="6002"/>
    <n v="53.33"/>
    <n v="0.53334788859293814"/>
    <x v="8"/>
    <n v="0.53334788859293814"/>
    <x v="3"/>
    <x v="0"/>
    <m/>
    <n v="0"/>
    <n v="0"/>
  </r>
  <r>
    <n v="20261009"/>
    <s v="2026-10-05"/>
    <s v="NC"/>
    <s v="SSG"/>
    <n v="11001"/>
    <n v="9002"/>
    <n v="33.08"/>
    <n v="0.33082581915004772"/>
    <x v="8"/>
    <n v="0.66917418084995228"/>
    <x v="1"/>
    <x v="1"/>
    <m/>
    <n v="0"/>
    <n v="1"/>
  </r>
  <r>
    <n v="20261010"/>
    <s v="2026-10-06"/>
    <s v="LG"/>
    <s v="NC"/>
    <n v="5002"/>
    <n v="11001"/>
    <n v="42.8"/>
    <n v="0.4280318308562841"/>
    <x v="8"/>
    <n v="0.57196816914371595"/>
    <x v="4"/>
    <x v="1"/>
    <m/>
    <n v="1"/>
    <n v="0"/>
  </r>
  <r>
    <n v="20261011"/>
    <s v="2026-10-06"/>
    <s v="키움"/>
    <s v="KT"/>
    <n v="10001"/>
    <n v="12001"/>
    <n v="33.119999999999997"/>
    <n v="0.33118027847108172"/>
    <x v="8"/>
    <n v="0.66881972152891822"/>
    <x v="1"/>
    <x v="1"/>
    <m/>
    <n v="0"/>
    <n v="1"/>
  </r>
  <r>
    <n v="20261012"/>
    <s v="2026-10-06"/>
    <s v="한화"/>
    <s v="SSG"/>
    <n v="7002"/>
    <n v="9002"/>
    <n v="54.43"/>
    <n v="0.54433027861023398"/>
    <x v="8"/>
    <n v="0.54433027861023398"/>
    <x v="3"/>
    <x v="0"/>
    <m/>
    <n v="1"/>
    <n v="1"/>
  </r>
  <r>
    <n v="20261013"/>
    <s v="2026-10-06"/>
    <s v="KIA"/>
    <s v="삼성"/>
    <n v="2002"/>
    <n v="1001"/>
    <n v="44.2"/>
    <n v="0.44202849394127569"/>
    <x v="8"/>
    <n v="0.55797150605872425"/>
    <x v="4"/>
    <x v="1"/>
    <m/>
    <n v="0"/>
    <n v="1"/>
  </r>
  <r>
    <n v="20261014"/>
    <s v="2026-10-06"/>
    <s v="롯데"/>
    <s v="두산"/>
    <n v="3001"/>
    <n v="6002"/>
    <n v="33.08"/>
    <n v="0.33082089609164889"/>
    <x v="8"/>
    <n v="0.66917910390835111"/>
    <x v="1"/>
    <x v="1"/>
    <m/>
    <n v="0"/>
    <n v="1"/>
  </r>
  <r>
    <n v="20261015"/>
    <s v="2026-10-07"/>
    <s v="LG"/>
    <s v="두산"/>
    <n v="5002"/>
    <n v="6002"/>
    <n v="40.14"/>
    <n v="0.40142299814813331"/>
    <x v="8"/>
    <n v="0.59857700185186669"/>
    <x v="4"/>
    <x v="1"/>
    <m/>
    <n v="1"/>
    <n v="0"/>
  </r>
  <r>
    <n v="20261016"/>
    <s v="2026-10-07"/>
    <s v="키움"/>
    <s v="한화"/>
    <n v="10001"/>
    <n v="7002"/>
    <n v="59.32"/>
    <n v="0.59321143598747916"/>
    <x v="8"/>
    <n v="0.59321143598747916"/>
    <x v="4"/>
    <x v="0"/>
    <m/>
    <n v="1"/>
    <n v="1"/>
  </r>
  <r>
    <n v="20261017"/>
    <s v="2026-10-07"/>
    <s v="SSG"/>
    <s v="NC"/>
    <n v="9002"/>
    <n v="11001"/>
    <n v="61.21"/>
    <n v="0.61206287641450297"/>
    <x v="8"/>
    <n v="0.61206287641450297"/>
    <x v="2"/>
    <x v="0"/>
    <m/>
    <n v="1"/>
    <n v="1"/>
  </r>
  <r>
    <n v="20261018"/>
    <s v="2026-10-07"/>
    <s v="KT"/>
    <s v="삼성"/>
    <n v="12001"/>
    <n v="1001"/>
    <n v="54.73"/>
    <n v="0.5472886579354741"/>
    <x v="8"/>
    <n v="0.5472886579354741"/>
    <x v="3"/>
    <x v="0"/>
    <m/>
    <n v="1"/>
    <n v="1"/>
  </r>
  <r>
    <n v="20261019"/>
    <s v="2026-10-07"/>
    <s v="롯데"/>
    <s v="KIA"/>
    <n v="3001"/>
    <n v="2002"/>
    <n v="33.76"/>
    <n v="0.33760146347758679"/>
    <x v="8"/>
    <n v="0.66239853652241321"/>
    <x v="1"/>
    <x v="1"/>
    <m/>
    <n v="0"/>
    <n v="1"/>
  </r>
  <r>
    <n v="20261052"/>
    <s v="2026-10-09"/>
    <s v="SSG"/>
    <s v="삼성"/>
    <n v="9002"/>
    <n v="1001"/>
    <n v="55.41"/>
    <n v="0.55407872210763842"/>
    <x v="8"/>
    <n v="0.55407872210763842"/>
    <x v="4"/>
    <x v="0"/>
    <m/>
    <n v="1"/>
    <n v="1"/>
  </r>
  <r>
    <n v="20261053"/>
    <s v="2026-10-09"/>
    <s v="롯데"/>
    <s v="LG"/>
    <n v="3001"/>
    <n v="5002"/>
    <n v="32.71"/>
    <n v="0.32705789807904062"/>
    <x v="8"/>
    <n v="0.67294210192095938"/>
    <x v="1"/>
    <x v="1"/>
    <m/>
    <n v="1"/>
    <n v="0"/>
  </r>
  <r>
    <n v="20261054"/>
    <s v="2026-10-09"/>
    <s v="NC"/>
    <s v="KIA"/>
    <n v="11001"/>
    <n v="2002"/>
    <n v="44.23"/>
    <n v="0.44225520995294648"/>
    <x v="8"/>
    <n v="0.55774479004705346"/>
    <x v="4"/>
    <x v="1"/>
    <m/>
    <n v="0"/>
    <n v="1"/>
  </r>
  <r>
    <n v="20261057"/>
    <s v="2026-10-10"/>
    <s v="롯데"/>
    <s v="LG"/>
    <n v="3001"/>
    <n v="5002"/>
    <n v="47.4"/>
    <n v="0.4740179110255674"/>
    <x v="8"/>
    <n v="0.52598208897443266"/>
    <x v="3"/>
    <x v="1"/>
    <m/>
    <n v="0"/>
    <n v="1"/>
  </r>
  <r>
    <n v="20261055"/>
    <s v="2026-10-10"/>
    <s v="한화"/>
    <s v="NC"/>
    <n v="7002"/>
    <n v="11001"/>
    <n v="46.25"/>
    <n v="0.46249665618822222"/>
    <x v="8"/>
    <n v="0.53750334381177778"/>
    <x v="3"/>
    <x v="1"/>
    <m/>
    <n v="0"/>
    <n v="1"/>
  </r>
  <r>
    <n v="20261056"/>
    <s v="2026-10-10"/>
    <s v="KIA"/>
    <s v="SSG"/>
    <n v="2002"/>
    <n v="9002"/>
    <n v="51.65"/>
    <n v="0.51652472454306331"/>
    <x v="8"/>
    <n v="0.51652472454306331"/>
    <x v="3"/>
    <x v="0"/>
    <m/>
    <n v="1"/>
    <n v="1"/>
  </r>
  <r>
    <n v="20261058"/>
    <s v="2026-10-11"/>
    <s v="삼성"/>
    <s v="KT"/>
    <n v="1001"/>
    <n v="12001"/>
    <n v="36.01"/>
    <n v="0.36009114575657558"/>
    <x v="8"/>
    <n v="0.63990885424342436"/>
    <x v="2"/>
    <x v="1"/>
    <m/>
    <n v="0"/>
    <n v="1"/>
  </r>
  <r>
    <n v="20261059"/>
    <s v="2026-10-11"/>
    <s v="KIA"/>
    <s v="롯데"/>
    <n v="2002"/>
    <n v="3001"/>
    <n v="58.86"/>
    <n v="0.58861251122524183"/>
    <x v="8"/>
    <n v="0.58861251122524183"/>
    <x v="4"/>
    <x v="0"/>
    <m/>
    <n v="0"/>
    <n v="0"/>
  </r>
  <r>
    <n v="20261060"/>
    <s v="2026-10-12"/>
    <s v="두산"/>
    <s v="롯데"/>
    <n v="6002"/>
    <n v="3001"/>
    <n v="54.31"/>
    <n v="0.543083760036009"/>
    <x v="8"/>
    <n v="0.543083760036009"/>
    <x v="3"/>
    <x v="0"/>
    <m/>
    <n v="0"/>
    <n v="0"/>
  </r>
  <r>
    <n v="20261061"/>
    <s v="2026-10-12"/>
    <s v="삼성"/>
    <s v="KT"/>
    <n v="1001"/>
    <n v="12001"/>
    <n v="30.84"/>
    <n v="0.3083667388293464"/>
    <x v="8"/>
    <n v="0.6916332611706536"/>
    <x v="1"/>
    <x v="1"/>
    <m/>
    <n v="0"/>
    <n v="1"/>
  </r>
  <r>
    <n v="20261062"/>
    <s v="2026-10-12"/>
    <s v="KIA"/>
    <s v="LG"/>
    <n v="2002"/>
    <n v="5002"/>
    <n v="48.53"/>
    <n v="0.48527643022195949"/>
    <x v="8"/>
    <n v="0.51472356977804046"/>
    <x v="3"/>
    <x v="1"/>
    <m/>
    <n v="1"/>
    <n v="0"/>
  </r>
  <r>
    <m/>
    <m/>
    <m/>
    <m/>
    <m/>
    <m/>
    <m/>
    <m/>
    <x v="9"/>
    <m/>
    <x v="5"/>
    <x v="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피벗 테이블2" cacheId="5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F2:H28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x="3"/>
        <item sd="0" x="4"/>
        <item sd="0" x="6"/>
        <item x="5"/>
        <item sd="0" x="0"/>
        <item sd="0" x="2"/>
        <item sd="0" x="1"/>
        <item sd="0" x="9"/>
        <item x="7"/>
        <item x="8"/>
        <item t="default"/>
      </items>
    </pivotField>
    <pivotField showAll="0"/>
    <pivotField axis="axisRow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dataField="1" showAll="0"/>
    <pivotField dataField="1" showAll="0"/>
  </pivotFields>
  <rowFields count="2">
    <field x="8"/>
    <field x="10"/>
  </rowFields>
  <rowItems count="25">
    <i>
      <x/>
    </i>
    <i>
      <x v="1"/>
    </i>
    <i>
      <x v="2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>
      <x v="5"/>
    </i>
    <i>
      <x v="6"/>
    </i>
    <i>
      <x v="7"/>
    </i>
    <i>
      <x v="8"/>
    </i>
    <i r="1">
      <x/>
    </i>
    <i r="1">
      <x v="1"/>
    </i>
    <i r="1">
      <x v="2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ccuracy" fld="14" subtotal="average" baseField="10" baseItem="0"/>
    <dataField name="경기 수" fld="13" subtotal="count" baseField="1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피벗 테이블3" cacheId="5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J2:L26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3"/>
        <item x="4"/>
        <item x="6"/>
        <item x="5"/>
        <item sd="0" x="0"/>
        <item sd="0" x="2"/>
        <item sd="0" x="1"/>
        <item sd="0" x="9"/>
        <item x="7"/>
        <item x="8"/>
        <item t="default"/>
      </items>
    </pivotField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dataField="1" showAll="0"/>
    <pivotField dataField="1" showAll="0"/>
  </pivotFields>
  <rowFields count="2">
    <field x="8"/>
    <field x="11"/>
  </rowFields>
  <rowItems count="2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>
      <x v="5"/>
    </i>
    <i>
      <x v="6"/>
    </i>
    <i>
      <x v="7"/>
    </i>
    <i>
      <x v="8"/>
    </i>
    <i r="1">
      <x/>
    </i>
    <i r="1">
      <x v="1"/>
    </i>
    <i>
      <x v="9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ccuracy" fld="14" subtotal="average" baseField="10" baseItem="0"/>
    <dataField name="경기 수" fld="13" subtotal="count" baseField="1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피벗 테이블4" cacheId="5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N2:P28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x="3"/>
        <item sd="0" x="4"/>
        <item sd="0" x="6"/>
        <item x="5"/>
        <item sd="0" x="0"/>
        <item sd="0" x="2"/>
        <item sd="0" x="1"/>
        <item sd="0" x="9"/>
        <item x="7"/>
        <item x="8"/>
        <item t="default"/>
      </items>
    </pivotField>
    <pivotField dataField="1" showAll="0"/>
    <pivotField axis="axisRow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/>
    <pivotField dataField="1" showAll="0"/>
  </pivotFields>
  <rowFields count="2">
    <field x="8"/>
    <field x="10"/>
  </rowFields>
  <rowItems count="25">
    <i>
      <x/>
    </i>
    <i>
      <x v="1"/>
    </i>
    <i>
      <x v="2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>
      <x v="5"/>
    </i>
    <i>
      <x v="6"/>
    </i>
    <i>
      <x v="7"/>
    </i>
    <i>
      <x v="8"/>
    </i>
    <i r="1">
      <x/>
    </i>
    <i r="1">
      <x v="1"/>
    </i>
    <i r="1">
      <x v="2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vg Predicted Probability" fld="9" subtotal="average" baseField="11" baseItem="0"/>
    <dataField name="Actual Accuracy" fld="14" subtotal="average" baseField="1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1" cacheId="5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2:D14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1">
        <item x="3"/>
        <item x="4"/>
        <item x="6"/>
        <item x="5"/>
        <item x="7"/>
        <item x="8"/>
        <item x="0"/>
        <item x="2"/>
        <item x="1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</pivotFields>
  <rowFields count="1">
    <field x="8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ccuracy" fld="14" subtotal="average" baseField="0" baseItem="3"/>
    <dataField name="Brier Score" fld="12" subtotal="average" baseField="12" baseItem="0"/>
    <dataField name="경기 수" fld="14" subtotal="countNums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71"/>
  <sheetViews>
    <sheetView workbookViewId="0">
      <pane ySplit="1" topLeftCell="A659" activePane="bottomLeft" state="frozen"/>
      <selection pane="bottomLeft" activeCell="N672" sqref="N672"/>
    </sheetView>
  </sheetViews>
  <sheetFormatPr defaultRowHeight="16.899999999999999" x14ac:dyDescent="0.6"/>
  <cols>
    <col min="2" max="2" width="11.9375" style="5" customWidth="1"/>
    <col min="10" max="13" width="9" style="5" customWidth="1"/>
    <col min="18" max="18" width="11.0625" style="5" bestFit="1" customWidth="1"/>
    <col min="19" max="19" width="13" style="5" bestFit="1" customWidth="1"/>
    <col min="20" max="20" width="7.1875" style="5" bestFit="1" customWidth="1"/>
  </cols>
  <sheetData>
    <row r="1" spans="1:18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x14ac:dyDescent="0.6">
      <c r="A2">
        <v>20260046</v>
      </c>
      <c r="B2" t="s">
        <v>15</v>
      </c>
      <c r="C2" t="s">
        <v>16</v>
      </c>
      <c r="D2" t="s">
        <v>17</v>
      </c>
      <c r="E2">
        <v>6002</v>
      </c>
      <c r="F2">
        <v>10001</v>
      </c>
      <c r="G2">
        <v>88.72</v>
      </c>
      <c r="H2">
        <v>0.88719999999999999</v>
      </c>
      <c r="I2" t="s">
        <v>18</v>
      </c>
      <c r="J2">
        <f t="shared" ref="J2:J65" si="0">MAX(H2,1-H2)</f>
        <v>0.88719999999999999</v>
      </c>
      <c r="K2" t="str">
        <f t="shared" ref="K2:K65" si="1">_xlfn.IFS(
J2&lt;=0.55,"50~55",
J2&lt;=0.6,"55~60",
J2&lt;=0.65,"60~65",
J2&lt;=0.7,"65~70",
TRUE,"70~100"
)</f>
        <v>70~100</v>
      </c>
      <c r="L2" t="str">
        <f t="shared" ref="L2:L65" si="2">IF(H2&gt;=0.5,"HOME","AWAY")</f>
        <v>HOME</v>
      </c>
      <c r="M2">
        <f t="shared" ref="M2:M65" si="3">IF(AND(N2&lt;&gt;"", OR(N2=0, N2=1)), (J2-N2)^2, "")</f>
        <v>1.2723840000000002E-2</v>
      </c>
      <c r="N2">
        <v>1</v>
      </c>
      <c r="O2">
        <f t="shared" ref="O2:O65" si="4">IF(AND(N2&lt;&gt;"", OR(N2=0, N2=1)), IF(ROUND(H2,0)=N2, 1, 0), "")</f>
        <v>1</v>
      </c>
    </row>
    <row r="3" spans="1:18" x14ac:dyDescent="0.6">
      <c r="A3">
        <v>20260047</v>
      </c>
      <c r="B3" t="s">
        <v>15</v>
      </c>
      <c r="C3" t="s">
        <v>19</v>
      </c>
      <c r="D3" t="s">
        <v>20</v>
      </c>
      <c r="E3">
        <v>9002</v>
      </c>
      <c r="F3">
        <v>7002</v>
      </c>
      <c r="G3">
        <v>90.58</v>
      </c>
      <c r="H3">
        <v>0.90580000000000005</v>
      </c>
      <c r="I3" t="s">
        <v>18</v>
      </c>
      <c r="J3">
        <f t="shared" si="0"/>
        <v>0.90580000000000005</v>
      </c>
      <c r="K3" t="str">
        <f t="shared" si="1"/>
        <v>70~100</v>
      </c>
      <c r="L3" t="str">
        <f t="shared" si="2"/>
        <v>HOME</v>
      </c>
      <c r="M3">
        <f t="shared" si="3"/>
        <v>0.82047364000000012</v>
      </c>
      <c r="N3">
        <v>0</v>
      </c>
      <c r="O3">
        <f t="shared" si="4"/>
        <v>0</v>
      </c>
    </row>
    <row r="4" spans="1:18" x14ac:dyDescent="0.6">
      <c r="A4">
        <v>20260048</v>
      </c>
      <c r="B4" t="s">
        <v>15</v>
      </c>
      <c r="C4" t="s">
        <v>21</v>
      </c>
      <c r="D4" t="s">
        <v>22</v>
      </c>
      <c r="E4">
        <v>2002</v>
      </c>
      <c r="F4">
        <v>1001</v>
      </c>
      <c r="G4">
        <v>34.54</v>
      </c>
      <c r="H4">
        <v>0.34539999999999998</v>
      </c>
      <c r="I4" t="s">
        <v>18</v>
      </c>
      <c r="J4">
        <f t="shared" si="0"/>
        <v>0.65460000000000007</v>
      </c>
      <c r="K4" t="str">
        <f t="shared" si="1"/>
        <v>65~70</v>
      </c>
      <c r="L4" t="str">
        <f t="shared" si="2"/>
        <v>AWAY</v>
      </c>
      <c r="M4">
        <f t="shared" si="3"/>
        <v>0.11930115999999995</v>
      </c>
      <c r="N4">
        <v>1</v>
      </c>
      <c r="O4">
        <f t="shared" si="4"/>
        <v>0</v>
      </c>
    </row>
    <row r="5" spans="1:18" x14ac:dyDescent="0.6">
      <c r="A5">
        <v>20260049</v>
      </c>
      <c r="B5" t="s">
        <v>15</v>
      </c>
      <c r="C5" t="s">
        <v>23</v>
      </c>
      <c r="D5" t="s">
        <v>24</v>
      </c>
      <c r="E5">
        <v>3001</v>
      </c>
      <c r="F5">
        <v>12001</v>
      </c>
      <c r="G5">
        <v>8.49</v>
      </c>
      <c r="H5">
        <v>8.4900000000000003E-2</v>
      </c>
      <c r="I5" t="s">
        <v>18</v>
      </c>
      <c r="J5">
        <f t="shared" si="0"/>
        <v>0.91510000000000002</v>
      </c>
      <c r="K5" t="str">
        <f t="shared" si="1"/>
        <v>70~100</v>
      </c>
      <c r="L5" t="str">
        <f t="shared" si="2"/>
        <v>AWAY</v>
      </c>
      <c r="M5">
        <f t="shared" si="3"/>
        <v>7.2080099999999956E-3</v>
      </c>
      <c r="N5">
        <v>1</v>
      </c>
      <c r="O5">
        <f t="shared" si="4"/>
        <v>0</v>
      </c>
      <c r="Q5" t="s">
        <v>25</v>
      </c>
      <c r="R5" t="s">
        <v>26</v>
      </c>
    </row>
    <row r="6" spans="1:18" x14ac:dyDescent="0.6">
      <c r="A6">
        <v>20260050</v>
      </c>
      <c r="B6" t="s">
        <v>15</v>
      </c>
      <c r="C6" t="s">
        <v>27</v>
      </c>
      <c r="D6" t="s">
        <v>28</v>
      </c>
      <c r="E6">
        <v>11001</v>
      </c>
      <c r="F6">
        <v>5002</v>
      </c>
      <c r="G6">
        <v>12.38</v>
      </c>
      <c r="H6">
        <v>0.12379999999999999</v>
      </c>
      <c r="I6" t="s">
        <v>18</v>
      </c>
      <c r="J6">
        <f t="shared" si="0"/>
        <v>0.87619999999999998</v>
      </c>
      <c r="K6" t="str">
        <f t="shared" si="1"/>
        <v>70~100</v>
      </c>
      <c r="L6" t="str">
        <f t="shared" si="2"/>
        <v>AWAY</v>
      </c>
      <c r="M6">
        <f t="shared" si="3"/>
        <v>0.76772644000000001</v>
      </c>
      <c r="N6">
        <v>0</v>
      </c>
      <c r="O6">
        <f t="shared" si="4"/>
        <v>1</v>
      </c>
      <c r="Q6">
        <f>AVERAGE(O:O)</f>
        <v>0.5326797385620915</v>
      </c>
      <c r="R6">
        <f>AVERAGE(N:N)</f>
        <v>0.52287581699346408</v>
      </c>
    </row>
    <row r="7" spans="1:18" x14ac:dyDescent="0.6">
      <c r="A7">
        <v>20260051</v>
      </c>
      <c r="B7" t="s">
        <v>29</v>
      </c>
      <c r="C7" t="s">
        <v>16</v>
      </c>
      <c r="D7" t="s">
        <v>17</v>
      </c>
      <c r="E7">
        <v>6002</v>
      </c>
      <c r="F7">
        <v>10001</v>
      </c>
      <c r="G7">
        <v>35.08</v>
      </c>
      <c r="H7">
        <v>0.3508</v>
      </c>
      <c r="I7" t="s">
        <v>30</v>
      </c>
      <c r="J7">
        <f t="shared" si="0"/>
        <v>0.6492</v>
      </c>
      <c r="K7" t="str">
        <f t="shared" si="1"/>
        <v>60~65</v>
      </c>
      <c r="L7" t="str">
        <f t="shared" si="2"/>
        <v>AWAY</v>
      </c>
      <c r="M7" t="str">
        <f t="shared" si="3"/>
        <v/>
      </c>
      <c r="N7" t="s">
        <v>31</v>
      </c>
      <c r="O7" t="str">
        <f t="shared" si="4"/>
        <v/>
      </c>
    </row>
    <row r="8" spans="1:18" x14ac:dyDescent="0.6">
      <c r="A8">
        <v>20260052</v>
      </c>
      <c r="B8" t="s">
        <v>29</v>
      </c>
      <c r="C8" t="s">
        <v>19</v>
      </c>
      <c r="D8" t="s">
        <v>20</v>
      </c>
      <c r="E8">
        <v>9002</v>
      </c>
      <c r="F8">
        <v>7002</v>
      </c>
      <c r="G8">
        <v>52.72</v>
      </c>
      <c r="H8">
        <v>0.5272</v>
      </c>
      <c r="I8" t="s">
        <v>30</v>
      </c>
      <c r="J8">
        <f t="shared" si="0"/>
        <v>0.5272</v>
      </c>
      <c r="K8" t="str">
        <f t="shared" si="1"/>
        <v>50~55</v>
      </c>
      <c r="L8" t="str">
        <f t="shared" si="2"/>
        <v>HOME</v>
      </c>
      <c r="M8" t="str">
        <f t="shared" si="3"/>
        <v/>
      </c>
      <c r="N8" t="s">
        <v>31</v>
      </c>
      <c r="O8" t="str">
        <f t="shared" si="4"/>
        <v/>
      </c>
    </row>
    <row r="9" spans="1:18" x14ac:dyDescent="0.6">
      <c r="A9">
        <v>20260053</v>
      </c>
      <c r="B9" t="s">
        <v>29</v>
      </c>
      <c r="C9" t="s">
        <v>21</v>
      </c>
      <c r="D9" t="s">
        <v>22</v>
      </c>
      <c r="E9">
        <v>2002</v>
      </c>
      <c r="F9">
        <v>1001</v>
      </c>
      <c r="G9">
        <v>62.24</v>
      </c>
      <c r="H9">
        <v>0.62239999999999995</v>
      </c>
      <c r="I9" t="s">
        <v>30</v>
      </c>
      <c r="J9">
        <f t="shared" si="0"/>
        <v>0.62239999999999995</v>
      </c>
      <c r="K9" t="str">
        <f t="shared" si="1"/>
        <v>60~65</v>
      </c>
      <c r="L9" t="str">
        <f t="shared" si="2"/>
        <v>HOME</v>
      </c>
      <c r="M9" t="str">
        <f t="shared" si="3"/>
        <v/>
      </c>
      <c r="N9" t="s">
        <v>31</v>
      </c>
      <c r="O9" t="str">
        <f t="shared" si="4"/>
        <v/>
      </c>
    </row>
    <row r="10" spans="1:18" x14ac:dyDescent="0.6">
      <c r="A10">
        <v>20260054</v>
      </c>
      <c r="B10" t="s">
        <v>29</v>
      </c>
      <c r="C10" t="s">
        <v>23</v>
      </c>
      <c r="D10" t="s">
        <v>24</v>
      </c>
      <c r="E10">
        <v>3001</v>
      </c>
      <c r="F10">
        <v>12001</v>
      </c>
      <c r="G10">
        <v>38.11</v>
      </c>
      <c r="H10">
        <v>0.38109999999999999</v>
      </c>
      <c r="I10" t="s">
        <v>30</v>
      </c>
      <c r="J10">
        <f t="shared" si="0"/>
        <v>0.61890000000000001</v>
      </c>
      <c r="K10" t="str">
        <f t="shared" si="1"/>
        <v>60~65</v>
      </c>
      <c r="L10" t="str">
        <f t="shared" si="2"/>
        <v>AWAY</v>
      </c>
      <c r="M10" t="str">
        <f t="shared" si="3"/>
        <v/>
      </c>
      <c r="N10" t="s">
        <v>31</v>
      </c>
      <c r="O10" t="str">
        <f t="shared" si="4"/>
        <v/>
      </c>
    </row>
    <row r="11" spans="1:18" x14ac:dyDescent="0.6">
      <c r="A11">
        <v>20260055</v>
      </c>
      <c r="B11" t="s">
        <v>29</v>
      </c>
      <c r="C11" t="s">
        <v>27</v>
      </c>
      <c r="D11" t="s">
        <v>28</v>
      </c>
      <c r="E11">
        <v>11001</v>
      </c>
      <c r="F11">
        <v>5002</v>
      </c>
      <c r="G11">
        <v>85.29</v>
      </c>
      <c r="H11">
        <v>0.85289999999999999</v>
      </c>
      <c r="I11" t="s">
        <v>30</v>
      </c>
      <c r="J11">
        <f t="shared" si="0"/>
        <v>0.85289999999999999</v>
      </c>
      <c r="K11" t="str">
        <f t="shared" si="1"/>
        <v>70~100</v>
      </c>
      <c r="L11" t="str">
        <f t="shared" si="2"/>
        <v>HOME</v>
      </c>
      <c r="M11" t="str">
        <f t="shared" si="3"/>
        <v/>
      </c>
      <c r="N11" t="s">
        <v>31</v>
      </c>
      <c r="O11" t="str">
        <f t="shared" si="4"/>
        <v/>
      </c>
    </row>
    <row r="12" spans="1:18" x14ac:dyDescent="0.6">
      <c r="A12">
        <v>20260056</v>
      </c>
      <c r="B12" t="s">
        <v>32</v>
      </c>
      <c r="C12" t="s">
        <v>28</v>
      </c>
      <c r="D12" t="s">
        <v>19</v>
      </c>
      <c r="E12">
        <v>5002</v>
      </c>
      <c r="F12">
        <v>9002</v>
      </c>
      <c r="G12">
        <v>29.35</v>
      </c>
      <c r="H12">
        <v>0.29349999999999998</v>
      </c>
      <c r="I12" t="s">
        <v>30</v>
      </c>
      <c r="J12">
        <f t="shared" si="0"/>
        <v>0.70650000000000002</v>
      </c>
      <c r="K12" t="str">
        <f t="shared" si="1"/>
        <v>70~100</v>
      </c>
      <c r="L12" t="str">
        <f t="shared" si="2"/>
        <v>AWAY</v>
      </c>
      <c r="M12">
        <f t="shared" si="3"/>
        <v>8.614224999999999E-2</v>
      </c>
      <c r="N12">
        <v>1</v>
      </c>
      <c r="O12">
        <f t="shared" si="4"/>
        <v>0</v>
      </c>
    </row>
    <row r="13" spans="1:18" x14ac:dyDescent="0.6">
      <c r="A13">
        <v>20260057</v>
      </c>
      <c r="B13" t="s">
        <v>32</v>
      </c>
      <c r="C13" t="s">
        <v>17</v>
      </c>
      <c r="D13" t="s">
        <v>23</v>
      </c>
      <c r="E13">
        <v>10001</v>
      </c>
      <c r="F13">
        <v>3001</v>
      </c>
      <c r="G13">
        <v>73.650000000000006</v>
      </c>
      <c r="H13">
        <v>0.73650000000000004</v>
      </c>
      <c r="I13" t="s">
        <v>30</v>
      </c>
      <c r="J13">
        <f t="shared" si="0"/>
        <v>0.73650000000000004</v>
      </c>
      <c r="K13" t="str">
        <f t="shared" si="1"/>
        <v>70~100</v>
      </c>
      <c r="L13" t="str">
        <f t="shared" si="2"/>
        <v>HOME</v>
      </c>
      <c r="M13">
        <f t="shared" si="3"/>
        <v>0.54243225000000006</v>
      </c>
      <c r="N13">
        <v>0</v>
      </c>
      <c r="O13">
        <f t="shared" si="4"/>
        <v>0</v>
      </c>
    </row>
    <row r="14" spans="1:18" x14ac:dyDescent="0.6">
      <c r="A14">
        <v>20260058</v>
      </c>
      <c r="B14" t="s">
        <v>32</v>
      </c>
      <c r="C14" t="s">
        <v>24</v>
      </c>
      <c r="D14" t="s">
        <v>16</v>
      </c>
      <c r="E14">
        <v>12001</v>
      </c>
      <c r="F14">
        <v>6002</v>
      </c>
      <c r="G14">
        <v>57.85</v>
      </c>
      <c r="H14">
        <v>0.57850000000000001</v>
      </c>
      <c r="I14" t="s">
        <v>30</v>
      </c>
      <c r="J14">
        <f t="shared" si="0"/>
        <v>0.57850000000000001</v>
      </c>
      <c r="K14" t="str">
        <f t="shared" si="1"/>
        <v>55~60</v>
      </c>
      <c r="L14" t="str">
        <f t="shared" si="2"/>
        <v>HOME</v>
      </c>
      <c r="M14">
        <f t="shared" si="3"/>
        <v>0.33466224999999999</v>
      </c>
      <c r="N14">
        <v>0</v>
      </c>
      <c r="O14">
        <f t="shared" si="4"/>
        <v>0</v>
      </c>
    </row>
    <row r="15" spans="1:18" x14ac:dyDescent="0.6">
      <c r="A15">
        <v>20260059</v>
      </c>
      <c r="B15" t="s">
        <v>32</v>
      </c>
      <c r="C15" t="s">
        <v>20</v>
      </c>
      <c r="D15" t="s">
        <v>21</v>
      </c>
      <c r="E15">
        <v>7002</v>
      </c>
      <c r="F15">
        <v>2002</v>
      </c>
      <c r="G15">
        <v>33.090000000000003</v>
      </c>
      <c r="H15">
        <v>0.33090000000000003</v>
      </c>
      <c r="I15" t="s">
        <v>30</v>
      </c>
      <c r="J15">
        <f t="shared" si="0"/>
        <v>0.66910000000000003</v>
      </c>
      <c r="K15" t="str">
        <f t="shared" si="1"/>
        <v>65~70</v>
      </c>
      <c r="L15" t="str">
        <f t="shared" si="2"/>
        <v>AWAY</v>
      </c>
      <c r="M15">
        <f t="shared" si="3"/>
        <v>0.44769481000000005</v>
      </c>
      <c r="N15">
        <v>0</v>
      </c>
      <c r="O15">
        <f t="shared" si="4"/>
        <v>1</v>
      </c>
    </row>
    <row r="16" spans="1:18" x14ac:dyDescent="0.6">
      <c r="A16">
        <v>20260060</v>
      </c>
      <c r="B16" t="s">
        <v>32</v>
      </c>
      <c r="C16" t="s">
        <v>22</v>
      </c>
      <c r="D16" t="s">
        <v>27</v>
      </c>
      <c r="E16">
        <v>1001</v>
      </c>
      <c r="F16">
        <v>11001</v>
      </c>
      <c r="G16">
        <v>30.46</v>
      </c>
      <c r="H16">
        <v>0.30459999999999998</v>
      </c>
      <c r="I16" t="s">
        <v>30</v>
      </c>
      <c r="J16">
        <f t="shared" si="0"/>
        <v>0.69540000000000002</v>
      </c>
      <c r="K16" t="str">
        <f t="shared" si="1"/>
        <v>65~70</v>
      </c>
      <c r="L16" t="str">
        <f t="shared" si="2"/>
        <v>AWAY</v>
      </c>
      <c r="M16">
        <f t="shared" si="3"/>
        <v>9.2781159999999988E-2</v>
      </c>
      <c r="N16">
        <v>1</v>
      </c>
      <c r="O16">
        <f t="shared" si="4"/>
        <v>0</v>
      </c>
    </row>
    <row r="17" spans="1:15" x14ac:dyDescent="0.6">
      <c r="A17">
        <v>20260061</v>
      </c>
      <c r="B17" t="s">
        <v>33</v>
      </c>
      <c r="C17" t="s">
        <v>28</v>
      </c>
      <c r="D17" t="s">
        <v>19</v>
      </c>
      <c r="E17">
        <v>5002</v>
      </c>
      <c r="F17">
        <v>9002</v>
      </c>
      <c r="G17">
        <v>64.56</v>
      </c>
      <c r="H17">
        <v>0.64559999999999995</v>
      </c>
      <c r="I17" t="s">
        <v>30</v>
      </c>
      <c r="J17">
        <f t="shared" si="0"/>
        <v>0.64559999999999995</v>
      </c>
      <c r="K17" t="str">
        <f t="shared" si="1"/>
        <v>60~65</v>
      </c>
      <c r="L17" t="str">
        <f t="shared" si="2"/>
        <v>HOME</v>
      </c>
      <c r="M17">
        <f t="shared" si="3"/>
        <v>0.12559936000000002</v>
      </c>
      <c r="N17">
        <v>1</v>
      </c>
      <c r="O17">
        <f t="shared" si="4"/>
        <v>1</v>
      </c>
    </row>
    <row r="18" spans="1:15" x14ac:dyDescent="0.6">
      <c r="A18">
        <v>20260062</v>
      </c>
      <c r="B18" t="s">
        <v>33</v>
      </c>
      <c r="C18" t="s">
        <v>17</v>
      </c>
      <c r="D18" t="s">
        <v>23</v>
      </c>
      <c r="E18">
        <v>10001</v>
      </c>
      <c r="F18">
        <v>3001</v>
      </c>
      <c r="G18">
        <v>51.07</v>
      </c>
      <c r="H18">
        <v>0.51070000000000004</v>
      </c>
      <c r="I18" t="s">
        <v>30</v>
      </c>
      <c r="J18">
        <f t="shared" si="0"/>
        <v>0.51070000000000004</v>
      </c>
      <c r="K18" t="str">
        <f t="shared" si="1"/>
        <v>50~55</v>
      </c>
      <c r="L18" t="str">
        <f t="shared" si="2"/>
        <v>HOME</v>
      </c>
      <c r="M18">
        <f t="shared" si="3"/>
        <v>0.26081449000000007</v>
      </c>
      <c r="N18">
        <v>0</v>
      </c>
      <c r="O18">
        <f t="shared" si="4"/>
        <v>0</v>
      </c>
    </row>
    <row r="19" spans="1:15" x14ac:dyDescent="0.6">
      <c r="A19">
        <v>20260063</v>
      </c>
      <c r="B19" t="s">
        <v>33</v>
      </c>
      <c r="C19" t="s">
        <v>24</v>
      </c>
      <c r="D19" t="s">
        <v>16</v>
      </c>
      <c r="E19">
        <v>12001</v>
      </c>
      <c r="F19">
        <v>6002</v>
      </c>
      <c r="G19">
        <v>24.04</v>
      </c>
      <c r="H19">
        <v>0.2404</v>
      </c>
      <c r="I19" t="s">
        <v>30</v>
      </c>
      <c r="J19">
        <f t="shared" si="0"/>
        <v>0.75960000000000005</v>
      </c>
      <c r="K19" t="str">
        <f t="shared" si="1"/>
        <v>70~100</v>
      </c>
      <c r="L19" t="str">
        <f t="shared" si="2"/>
        <v>AWAY</v>
      </c>
      <c r="M19">
        <f t="shared" si="3"/>
        <v>5.7792159999999974E-2</v>
      </c>
      <c r="N19">
        <v>1</v>
      </c>
      <c r="O19">
        <f t="shared" si="4"/>
        <v>0</v>
      </c>
    </row>
    <row r="20" spans="1:15" x14ac:dyDescent="0.6">
      <c r="A20">
        <v>20260064</v>
      </c>
      <c r="B20" t="s">
        <v>33</v>
      </c>
      <c r="C20" t="s">
        <v>20</v>
      </c>
      <c r="D20" t="s">
        <v>21</v>
      </c>
      <c r="E20">
        <v>7002</v>
      </c>
      <c r="F20">
        <v>2002</v>
      </c>
      <c r="G20">
        <v>89.63</v>
      </c>
      <c r="H20">
        <v>0.89629999999999999</v>
      </c>
      <c r="I20" t="s">
        <v>30</v>
      </c>
      <c r="J20">
        <f t="shared" si="0"/>
        <v>0.89629999999999999</v>
      </c>
      <c r="K20" t="str">
        <f t="shared" si="1"/>
        <v>70~100</v>
      </c>
      <c r="L20" t="str">
        <f t="shared" si="2"/>
        <v>HOME</v>
      </c>
      <c r="M20">
        <f t="shared" si="3"/>
        <v>0.80335369000000001</v>
      </c>
      <c r="N20">
        <v>0</v>
      </c>
      <c r="O20">
        <f t="shared" si="4"/>
        <v>0</v>
      </c>
    </row>
    <row r="21" spans="1:15" x14ac:dyDescent="0.6">
      <c r="A21">
        <v>20260065</v>
      </c>
      <c r="B21" t="s">
        <v>33</v>
      </c>
      <c r="C21" t="s">
        <v>22</v>
      </c>
      <c r="D21" t="s">
        <v>27</v>
      </c>
      <c r="E21">
        <v>1001</v>
      </c>
      <c r="F21">
        <v>11001</v>
      </c>
      <c r="G21">
        <v>37.89</v>
      </c>
      <c r="H21">
        <v>0.37890000000000001</v>
      </c>
      <c r="I21" t="s">
        <v>30</v>
      </c>
      <c r="J21">
        <f t="shared" si="0"/>
        <v>0.62109999999999999</v>
      </c>
      <c r="K21" t="str">
        <f t="shared" si="1"/>
        <v>60~65</v>
      </c>
      <c r="L21" t="str">
        <f t="shared" si="2"/>
        <v>AWAY</v>
      </c>
      <c r="M21">
        <f t="shared" si="3"/>
        <v>0.14356521</v>
      </c>
      <c r="N21">
        <v>1</v>
      </c>
      <c r="O21">
        <f t="shared" si="4"/>
        <v>0</v>
      </c>
    </row>
    <row r="22" spans="1:15" x14ac:dyDescent="0.6">
      <c r="A22">
        <v>20260066</v>
      </c>
      <c r="B22" t="s">
        <v>34</v>
      </c>
      <c r="C22" t="s">
        <v>28</v>
      </c>
      <c r="D22" t="s">
        <v>19</v>
      </c>
      <c r="E22">
        <v>5002</v>
      </c>
      <c r="F22">
        <v>9002</v>
      </c>
      <c r="G22">
        <v>38.08</v>
      </c>
      <c r="H22">
        <v>0.38080000000000003</v>
      </c>
      <c r="I22" t="s">
        <v>30</v>
      </c>
      <c r="J22">
        <f t="shared" si="0"/>
        <v>0.61919999999999997</v>
      </c>
      <c r="K22" t="str">
        <f t="shared" si="1"/>
        <v>60~65</v>
      </c>
      <c r="L22" t="str">
        <f t="shared" si="2"/>
        <v>AWAY</v>
      </c>
      <c r="M22">
        <f t="shared" si="3"/>
        <v>0.14500864000000002</v>
      </c>
      <c r="N22">
        <v>1</v>
      </c>
      <c r="O22">
        <f t="shared" si="4"/>
        <v>0</v>
      </c>
    </row>
    <row r="23" spans="1:15" x14ac:dyDescent="0.6">
      <c r="A23">
        <v>20260067</v>
      </c>
      <c r="B23" t="s">
        <v>34</v>
      </c>
      <c r="C23" t="s">
        <v>17</v>
      </c>
      <c r="D23" t="s">
        <v>23</v>
      </c>
      <c r="E23">
        <v>10001</v>
      </c>
      <c r="F23">
        <v>3001</v>
      </c>
      <c r="G23">
        <v>36.65</v>
      </c>
      <c r="H23">
        <v>0.36649999999999999</v>
      </c>
      <c r="I23" t="s">
        <v>30</v>
      </c>
      <c r="J23">
        <f t="shared" si="0"/>
        <v>0.63349999999999995</v>
      </c>
      <c r="K23" t="str">
        <f t="shared" si="1"/>
        <v>60~65</v>
      </c>
      <c r="L23" t="str">
        <f t="shared" si="2"/>
        <v>AWAY</v>
      </c>
      <c r="M23">
        <f t="shared" si="3"/>
        <v>0.13432225000000003</v>
      </c>
      <c r="N23">
        <v>1</v>
      </c>
      <c r="O23">
        <f t="shared" si="4"/>
        <v>0</v>
      </c>
    </row>
    <row r="24" spans="1:15" x14ac:dyDescent="0.6">
      <c r="A24">
        <v>20260068</v>
      </c>
      <c r="B24" t="s">
        <v>34</v>
      </c>
      <c r="C24" t="s">
        <v>24</v>
      </c>
      <c r="D24" t="s">
        <v>16</v>
      </c>
      <c r="E24">
        <v>12001</v>
      </c>
      <c r="F24">
        <v>6002</v>
      </c>
      <c r="G24">
        <v>73.31</v>
      </c>
      <c r="H24">
        <v>0.73309999999999997</v>
      </c>
      <c r="I24" t="s">
        <v>30</v>
      </c>
      <c r="J24">
        <f t="shared" si="0"/>
        <v>0.73309999999999997</v>
      </c>
      <c r="K24" t="str">
        <f t="shared" si="1"/>
        <v>70~100</v>
      </c>
      <c r="L24" t="str">
        <f t="shared" si="2"/>
        <v>HOME</v>
      </c>
      <c r="M24">
        <f t="shared" si="3"/>
        <v>7.1235610000000019E-2</v>
      </c>
      <c r="N24">
        <v>1</v>
      </c>
      <c r="O24">
        <f t="shared" si="4"/>
        <v>1</v>
      </c>
    </row>
    <row r="25" spans="1:15" x14ac:dyDescent="0.6">
      <c r="A25">
        <v>20260069</v>
      </c>
      <c r="B25" t="s">
        <v>34</v>
      </c>
      <c r="C25" t="s">
        <v>20</v>
      </c>
      <c r="D25" t="s">
        <v>21</v>
      </c>
      <c r="E25">
        <v>7002</v>
      </c>
      <c r="F25">
        <v>2002</v>
      </c>
      <c r="G25">
        <v>33.01</v>
      </c>
      <c r="H25">
        <v>0.3301</v>
      </c>
      <c r="I25" t="s">
        <v>30</v>
      </c>
      <c r="J25">
        <f t="shared" si="0"/>
        <v>0.66989999999999994</v>
      </c>
      <c r="K25" t="str">
        <f t="shared" si="1"/>
        <v>65~70</v>
      </c>
      <c r="L25" t="str">
        <f t="shared" si="2"/>
        <v>AWAY</v>
      </c>
      <c r="M25">
        <f t="shared" si="3"/>
        <v>0.44876600999999994</v>
      </c>
      <c r="N25">
        <v>0</v>
      </c>
      <c r="O25">
        <f t="shared" si="4"/>
        <v>1</v>
      </c>
    </row>
    <row r="26" spans="1:15" x14ac:dyDescent="0.6">
      <c r="A26">
        <v>20260070</v>
      </c>
      <c r="B26" t="s">
        <v>34</v>
      </c>
      <c r="C26" t="s">
        <v>22</v>
      </c>
      <c r="D26" t="s">
        <v>27</v>
      </c>
      <c r="E26">
        <v>1001</v>
      </c>
      <c r="F26">
        <v>11001</v>
      </c>
      <c r="G26">
        <v>60.31</v>
      </c>
      <c r="H26">
        <v>0.60309999999999997</v>
      </c>
      <c r="I26" t="s">
        <v>30</v>
      </c>
      <c r="J26">
        <f t="shared" si="0"/>
        <v>0.60309999999999997</v>
      </c>
      <c r="K26" t="str">
        <f t="shared" si="1"/>
        <v>60~65</v>
      </c>
      <c r="L26" t="str">
        <f t="shared" si="2"/>
        <v>HOME</v>
      </c>
      <c r="M26">
        <f t="shared" si="3"/>
        <v>0.15752961000000001</v>
      </c>
      <c r="N26">
        <v>1</v>
      </c>
      <c r="O26">
        <f t="shared" si="4"/>
        <v>1</v>
      </c>
    </row>
    <row r="27" spans="1:15" x14ac:dyDescent="0.6">
      <c r="A27">
        <v>20260071</v>
      </c>
      <c r="B27" t="s">
        <v>35</v>
      </c>
      <c r="C27" t="s">
        <v>28</v>
      </c>
      <c r="D27" t="s">
        <v>23</v>
      </c>
      <c r="E27">
        <v>5002</v>
      </c>
      <c r="F27">
        <v>3001</v>
      </c>
      <c r="G27">
        <v>57.69</v>
      </c>
      <c r="H27">
        <v>0.57689999999999997</v>
      </c>
      <c r="I27" t="s">
        <v>36</v>
      </c>
      <c r="J27">
        <f t="shared" si="0"/>
        <v>0.57689999999999997</v>
      </c>
      <c r="K27" t="str">
        <f t="shared" si="1"/>
        <v>55~60</v>
      </c>
      <c r="L27" t="str">
        <f t="shared" si="2"/>
        <v>HOME</v>
      </c>
      <c r="M27">
        <f t="shared" si="3"/>
        <v>0.17901361000000002</v>
      </c>
      <c r="N27">
        <v>1</v>
      </c>
      <c r="O27">
        <f t="shared" si="4"/>
        <v>1</v>
      </c>
    </row>
    <row r="28" spans="1:15" x14ac:dyDescent="0.6">
      <c r="A28">
        <v>20260072</v>
      </c>
      <c r="B28" t="s">
        <v>35</v>
      </c>
      <c r="C28" t="s">
        <v>19</v>
      </c>
      <c r="D28" t="s">
        <v>16</v>
      </c>
      <c r="E28">
        <v>9002</v>
      </c>
      <c r="F28">
        <v>6002</v>
      </c>
      <c r="G28">
        <v>55.62</v>
      </c>
      <c r="H28">
        <v>0.55620000000000003</v>
      </c>
      <c r="I28" t="s">
        <v>36</v>
      </c>
      <c r="J28">
        <f t="shared" si="0"/>
        <v>0.55620000000000003</v>
      </c>
      <c r="K28" t="str">
        <f t="shared" si="1"/>
        <v>55~60</v>
      </c>
      <c r="L28" t="str">
        <f t="shared" si="2"/>
        <v>HOME</v>
      </c>
      <c r="M28">
        <f t="shared" si="3"/>
        <v>0.30935844000000001</v>
      </c>
      <c r="N28">
        <v>0</v>
      </c>
      <c r="O28">
        <f t="shared" si="4"/>
        <v>0</v>
      </c>
    </row>
    <row r="29" spans="1:15" x14ac:dyDescent="0.6">
      <c r="A29">
        <v>20260073</v>
      </c>
      <c r="B29" t="s">
        <v>35</v>
      </c>
      <c r="C29" t="s">
        <v>20</v>
      </c>
      <c r="D29" t="s">
        <v>22</v>
      </c>
      <c r="E29">
        <v>7002</v>
      </c>
      <c r="F29">
        <v>1001</v>
      </c>
      <c r="G29">
        <v>49.8</v>
      </c>
      <c r="H29">
        <v>0.498</v>
      </c>
      <c r="I29" t="s">
        <v>36</v>
      </c>
      <c r="J29">
        <f t="shared" si="0"/>
        <v>0.502</v>
      </c>
      <c r="K29" t="str">
        <f t="shared" si="1"/>
        <v>50~55</v>
      </c>
      <c r="L29" t="str">
        <f t="shared" si="2"/>
        <v>AWAY</v>
      </c>
      <c r="M29">
        <f t="shared" si="3"/>
        <v>0.25200400000000001</v>
      </c>
      <c r="N29">
        <v>0</v>
      </c>
      <c r="O29">
        <f t="shared" si="4"/>
        <v>1</v>
      </c>
    </row>
    <row r="30" spans="1:15" x14ac:dyDescent="0.6">
      <c r="A30">
        <v>20260074</v>
      </c>
      <c r="B30" t="s">
        <v>35</v>
      </c>
      <c r="C30" t="s">
        <v>21</v>
      </c>
      <c r="D30" t="s">
        <v>17</v>
      </c>
      <c r="E30">
        <v>2002</v>
      </c>
      <c r="F30">
        <v>10001</v>
      </c>
      <c r="G30">
        <v>49.73</v>
      </c>
      <c r="H30">
        <v>0.49730000000000002</v>
      </c>
      <c r="I30" t="s">
        <v>36</v>
      </c>
      <c r="J30">
        <f t="shared" si="0"/>
        <v>0.50269999999999992</v>
      </c>
      <c r="K30" t="str">
        <f t="shared" si="1"/>
        <v>50~55</v>
      </c>
      <c r="L30" t="str">
        <f t="shared" si="2"/>
        <v>AWAY</v>
      </c>
      <c r="M30">
        <f t="shared" si="3"/>
        <v>0.24730729000000007</v>
      </c>
      <c r="N30">
        <v>1</v>
      </c>
      <c r="O30">
        <f t="shared" si="4"/>
        <v>0</v>
      </c>
    </row>
    <row r="31" spans="1:15" x14ac:dyDescent="0.6">
      <c r="A31">
        <v>20260075</v>
      </c>
      <c r="B31" t="s">
        <v>35</v>
      </c>
      <c r="C31" t="s">
        <v>27</v>
      </c>
      <c r="D31" t="s">
        <v>24</v>
      </c>
      <c r="E31">
        <v>11001</v>
      </c>
      <c r="F31">
        <v>12001</v>
      </c>
      <c r="G31">
        <v>50.79</v>
      </c>
      <c r="H31">
        <v>0.50790000000000002</v>
      </c>
      <c r="I31" t="s">
        <v>36</v>
      </c>
      <c r="J31">
        <f t="shared" si="0"/>
        <v>0.50790000000000002</v>
      </c>
      <c r="K31" t="str">
        <f t="shared" si="1"/>
        <v>50~55</v>
      </c>
      <c r="L31" t="str">
        <f t="shared" si="2"/>
        <v>HOME</v>
      </c>
      <c r="M31">
        <f t="shared" si="3"/>
        <v>0.24216240999999999</v>
      </c>
      <c r="N31">
        <v>1</v>
      </c>
      <c r="O31">
        <f t="shared" si="4"/>
        <v>1</v>
      </c>
    </row>
    <row r="32" spans="1:15" x14ac:dyDescent="0.6">
      <c r="A32">
        <v>20260076</v>
      </c>
      <c r="B32" t="s">
        <v>37</v>
      </c>
      <c r="C32" t="s">
        <v>28</v>
      </c>
      <c r="D32" t="s">
        <v>23</v>
      </c>
      <c r="E32">
        <v>5002</v>
      </c>
      <c r="F32">
        <v>3001</v>
      </c>
      <c r="G32">
        <v>57.69</v>
      </c>
      <c r="H32">
        <v>0.57689999999999997</v>
      </c>
      <c r="I32" t="s">
        <v>36</v>
      </c>
      <c r="J32">
        <f t="shared" si="0"/>
        <v>0.57689999999999997</v>
      </c>
      <c r="K32" t="str">
        <f t="shared" si="1"/>
        <v>55~60</v>
      </c>
      <c r="L32" t="str">
        <f t="shared" si="2"/>
        <v>HOME</v>
      </c>
      <c r="M32">
        <f t="shared" si="3"/>
        <v>0.33281360999999998</v>
      </c>
      <c r="N32">
        <v>0</v>
      </c>
      <c r="O32">
        <f t="shared" si="4"/>
        <v>0</v>
      </c>
    </row>
    <row r="33" spans="1:15" x14ac:dyDescent="0.6">
      <c r="A33">
        <v>20260077</v>
      </c>
      <c r="B33" t="s">
        <v>37</v>
      </c>
      <c r="C33" t="s">
        <v>19</v>
      </c>
      <c r="D33" t="s">
        <v>16</v>
      </c>
      <c r="E33">
        <v>9002</v>
      </c>
      <c r="F33">
        <v>6002</v>
      </c>
      <c r="G33">
        <v>55.62</v>
      </c>
      <c r="H33">
        <v>0.55620000000000003</v>
      </c>
      <c r="I33" t="s">
        <v>36</v>
      </c>
      <c r="J33">
        <f t="shared" si="0"/>
        <v>0.55620000000000003</v>
      </c>
      <c r="K33" t="str">
        <f t="shared" si="1"/>
        <v>55~60</v>
      </c>
      <c r="L33" t="str">
        <f t="shared" si="2"/>
        <v>HOME</v>
      </c>
      <c r="M33">
        <f t="shared" si="3"/>
        <v>0.19695843999999998</v>
      </c>
      <c r="N33">
        <v>1</v>
      </c>
      <c r="O33">
        <f t="shared" si="4"/>
        <v>1</v>
      </c>
    </row>
    <row r="34" spans="1:15" x14ac:dyDescent="0.6">
      <c r="A34">
        <v>20260078</v>
      </c>
      <c r="B34" t="s">
        <v>37</v>
      </c>
      <c r="C34" t="s">
        <v>20</v>
      </c>
      <c r="D34" t="s">
        <v>22</v>
      </c>
      <c r="E34">
        <v>7002</v>
      </c>
      <c r="F34">
        <v>1001</v>
      </c>
      <c r="G34">
        <v>49.8</v>
      </c>
      <c r="H34">
        <v>0.498</v>
      </c>
      <c r="I34" t="s">
        <v>36</v>
      </c>
      <c r="J34">
        <f t="shared" si="0"/>
        <v>0.502</v>
      </c>
      <c r="K34" t="str">
        <f t="shared" si="1"/>
        <v>50~55</v>
      </c>
      <c r="L34" t="str">
        <f t="shared" si="2"/>
        <v>AWAY</v>
      </c>
      <c r="M34">
        <f t="shared" si="3"/>
        <v>0.25200400000000001</v>
      </c>
      <c r="N34">
        <v>0</v>
      </c>
      <c r="O34">
        <f t="shared" si="4"/>
        <v>1</v>
      </c>
    </row>
    <row r="35" spans="1:15" x14ac:dyDescent="0.6">
      <c r="A35">
        <v>20260079</v>
      </c>
      <c r="B35" t="s">
        <v>37</v>
      </c>
      <c r="C35" t="s">
        <v>21</v>
      </c>
      <c r="D35" t="s">
        <v>17</v>
      </c>
      <c r="E35">
        <v>2002</v>
      </c>
      <c r="F35">
        <v>10001</v>
      </c>
      <c r="G35">
        <v>49.73</v>
      </c>
      <c r="H35">
        <v>0.49730000000000002</v>
      </c>
      <c r="I35" t="s">
        <v>36</v>
      </c>
      <c r="J35">
        <f t="shared" si="0"/>
        <v>0.50269999999999992</v>
      </c>
      <c r="K35" t="str">
        <f t="shared" si="1"/>
        <v>50~55</v>
      </c>
      <c r="L35" t="str">
        <f t="shared" si="2"/>
        <v>AWAY</v>
      </c>
      <c r="M35">
        <f t="shared" si="3"/>
        <v>0.24730729000000007</v>
      </c>
      <c r="N35">
        <v>1</v>
      </c>
      <c r="O35">
        <f t="shared" si="4"/>
        <v>0</v>
      </c>
    </row>
    <row r="36" spans="1:15" x14ac:dyDescent="0.6">
      <c r="A36">
        <v>20260080</v>
      </c>
      <c r="B36" t="s">
        <v>37</v>
      </c>
      <c r="C36" t="s">
        <v>27</v>
      </c>
      <c r="D36" t="s">
        <v>24</v>
      </c>
      <c r="E36">
        <v>11001</v>
      </c>
      <c r="F36">
        <v>12001</v>
      </c>
      <c r="G36">
        <v>50.79</v>
      </c>
      <c r="H36">
        <v>0.50790000000000002</v>
      </c>
      <c r="I36" t="s">
        <v>36</v>
      </c>
      <c r="J36">
        <f t="shared" si="0"/>
        <v>0.50790000000000002</v>
      </c>
      <c r="K36" t="str">
        <f t="shared" si="1"/>
        <v>50~55</v>
      </c>
      <c r="L36" t="str">
        <f t="shared" si="2"/>
        <v>HOME</v>
      </c>
      <c r="M36">
        <f t="shared" si="3"/>
        <v>0.25796241000000003</v>
      </c>
      <c r="N36">
        <v>0</v>
      </c>
      <c r="O36">
        <f t="shared" si="4"/>
        <v>0</v>
      </c>
    </row>
    <row r="37" spans="1:15" x14ac:dyDescent="0.6">
      <c r="A37">
        <v>20260081</v>
      </c>
      <c r="B37" t="s">
        <v>38</v>
      </c>
      <c r="C37" t="s">
        <v>28</v>
      </c>
      <c r="D37" t="s">
        <v>23</v>
      </c>
      <c r="E37">
        <v>5002</v>
      </c>
      <c r="F37">
        <v>3001</v>
      </c>
      <c r="G37">
        <v>57.69</v>
      </c>
      <c r="H37">
        <v>0.57689999999999997</v>
      </c>
      <c r="I37" t="s">
        <v>36</v>
      </c>
      <c r="J37">
        <f t="shared" si="0"/>
        <v>0.57689999999999997</v>
      </c>
      <c r="K37" t="str">
        <f t="shared" si="1"/>
        <v>55~60</v>
      </c>
      <c r="L37" t="str">
        <f t="shared" si="2"/>
        <v>HOME</v>
      </c>
      <c r="M37">
        <f t="shared" si="3"/>
        <v>0.17901361000000002</v>
      </c>
      <c r="N37">
        <v>1</v>
      </c>
      <c r="O37">
        <f t="shared" si="4"/>
        <v>1</v>
      </c>
    </row>
    <row r="38" spans="1:15" x14ac:dyDescent="0.6">
      <c r="A38">
        <v>20260082</v>
      </c>
      <c r="B38" t="s">
        <v>38</v>
      </c>
      <c r="C38" t="s">
        <v>19</v>
      </c>
      <c r="D38" t="s">
        <v>16</v>
      </c>
      <c r="E38">
        <v>9002</v>
      </c>
      <c r="F38">
        <v>6002</v>
      </c>
      <c r="G38">
        <v>55.62</v>
      </c>
      <c r="H38">
        <v>0.55620000000000003</v>
      </c>
      <c r="I38" t="s">
        <v>36</v>
      </c>
      <c r="J38">
        <f t="shared" si="0"/>
        <v>0.55620000000000003</v>
      </c>
      <c r="K38" t="str">
        <f t="shared" si="1"/>
        <v>55~60</v>
      </c>
      <c r="L38" t="str">
        <f t="shared" si="2"/>
        <v>HOME</v>
      </c>
      <c r="M38">
        <f t="shared" si="3"/>
        <v>0.19695843999999998</v>
      </c>
      <c r="N38">
        <v>1</v>
      </c>
      <c r="O38">
        <f t="shared" si="4"/>
        <v>1</v>
      </c>
    </row>
    <row r="39" spans="1:15" x14ac:dyDescent="0.6">
      <c r="A39">
        <v>20260083</v>
      </c>
      <c r="B39" t="s">
        <v>38</v>
      </c>
      <c r="C39" t="s">
        <v>20</v>
      </c>
      <c r="D39" t="s">
        <v>22</v>
      </c>
      <c r="E39">
        <v>7002</v>
      </c>
      <c r="F39">
        <v>1001</v>
      </c>
      <c r="G39">
        <v>49.8</v>
      </c>
      <c r="H39">
        <v>0.498</v>
      </c>
      <c r="I39" t="s">
        <v>36</v>
      </c>
      <c r="J39">
        <f t="shared" si="0"/>
        <v>0.502</v>
      </c>
      <c r="K39" t="str">
        <f t="shared" si="1"/>
        <v>50~55</v>
      </c>
      <c r="L39" t="str">
        <f t="shared" si="2"/>
        <v>AWAY</v>
      </c>
      <c r="M39">
        <f t="shared" si="3"/>
        <v>0.25200400000000001</v>
      </c>
      <c r="N39">
        <v>0</v>
      </c>
      <c r="O39">
        <f t="shared" si="4"/>
        <v>1</v>
      </c>
    </row>
    <row r="40" spans="1:15" x14ac:dyDescent="0.6">
      <c r="A40">
        <v>20260084</v>
      </c>
      <c r="B40" t="s">
        <v>38</v>
      </c>
      <c r="C40" t="s">
        <v>21</v>
      </c>
      <c r="D40" t="s">
        <v>17</v>
      </c>
      <c r="E40">
        <v>2002</v>
      </c>
      <c r="F40">
        <v>10001</v>
      </c>
      <c r="G40">
        <v>49.73</v>
      </c>
      <c r="H40">
        <v>0.49730000000000002</v>
      </c>
      <c r="I40" t="s">
        <v>36</v>
      </c>
      <c r="J40">
        <f t="shared" si="0"/>
        <v>0.50269999999999992</v>
      </c>
      <c r="K40" t="str">
        <f t="shared" si="1"/>
        <v>50~55</v>
      </c>
      <c r="L40" t="str">
        <f t="shared" si="2"/>
        <v>AWAY</v>
      </c>
      <c r="M40">
        <f t="shared" si="3"/>
        <v>0.24730729000000007</v>
      </c>
      <c r="N40">
        <v>1</v>
      </c>
      <c r="O40">
        <f t="shared" si="4"/>
        <v>0</v>
      </c>
    </row>
    <row r="41" spans="1:15" x14ac:dyDescent="0.6">
      <c r="A41">
        <v>20260085</v>
      </c>
      <c r="B41" t="s">
        <v>38</v>
      </c>
      <c r="C41" t="s">
        <v>27</v>
      </c>
      <c r="D41" t="s">
        <v>24</v>
      </c>
      <c r="E41">
        <v>11001</v>
      </c>
      <c r="F41">
        <v>12001</v>
      </c>
      <c r="G41">
        <v>50.79</v>
      </c>
      <c r="H41">
        <v>0.50790000000000002</v>
      </c>
      <c r="I41" t="s">
        <v>36</v>
      </c>
      <c r="J41">
        <f t="shared" si="0"/>
        <v>0.50790000000000002</v>
      </c>
      <c r="K41" t="str">
        <f t="shared" si="1"/>
        <v>50~55</v>
      </c>
      <c r="L41" t="str">
        <f t="shared" si="2"/>
        <v>HOME</v>
      </c>
      <c r="M41">
        <f t="shared" si="3"/>
        <v>0.25796241000000003</v>
      </c>
      <c r="N41">
        <v>0</v>
      </c>
      <c r="O41">
        <f t="shared" si="4"/>
        <v>0</v>
      </c>
    </row>
    <row r="42" spans="1:15" x14ac:dyDescent="0.6">
      <c r="A42">
        <v>20260086</v>
      </c>
      <c r="B42" t="s">
        <v>39</v>
      </c>
      <c r="C42" t="s">
        <v>16</v>
      </c>
      <c r="D42" t="s">
        <v>21</v>
      </c>
      <c r="E42">
        <v>6002</v>
      </c>
      <c r="F42">
        <v>2002</v>
      </c>
      <c r="G42">
        <v>53.6</v>
      </c>
      <c r="H42">
        <v>0.53600000000000003</v>
      </c>
      <c r="I42" t="s">
        <v>36</v>
      </c>
      <c r="J42">
        <f t="shared" si="0"/>
        <v>0.53600000000000003</v>
      </c>
      <c r="K42" t="str">
        <f t="shared" si="1"/>
        <v>50~55</v>
      </c>
      <c r="L42" t="str">
        <f t="shared" si="2"/>
        <v>HOME</v>
      </c>
      <c r="M42">
        <f t="shared" si="3"/>
        <v>0.28729600000000005</v>
      </c>
      <c r="N42">
        <v>0</v>
      </c>
      <c r="O42">
        <f t="shared" si="4"/>
        <v>0</v>
      </c>
    </row>
    <row r="43" spans="1:15" x14ac:dyDescent="0.6">
      <c r="A43">
        <v>20260087</v>
      </c>
      <c r="B43" t="s">
        <v>39</v>
      </c>
      <c r="C43" t="s">
        <v>24</v>
      </c>
      <c r="D43" t="s">
        <v>17</v>
      </c>
      <c r="E43">
        <v>12001</v>
      </c>
      <c r="F43">
        <v>10001</v>
      </c>
      <c r="G43">
        <v>55.92</v>
      </c>
      <c r="H43">
        <v>0.55920000000000003</v>
      </c>
      <c r="I43" t="s">
        <v>36</v>
      </c>
      <c r="J43">
        <f t="shared" si="0"/>
        <v>0.55920000000000003</v>
      </c>
      <c r="K43" t="str">
        <f t="shared" si="1"/>
        <v>55~60</v>
      </c>
      <c r="L43" t="str">
        <f t="shared" si="2"/>
        <v>HOME</v>
      </c>
      <c r="M43">
        <f t="shared" si="3"/>
        <v>0.19430463999999997</v>
      </c>
      <c r="N43">
        <v>1</v>
      </c>
      <c r="O43">
        <f t="shared" si="4"/>
        <v>1</v>
      </c>
    </row>
    <row r="44" spans="1:15" x14ac:dyDescent="0.6">
      <c r="A44">
        <v>20260088</v>
      </c>
      <c r="B44" t="s">
        <v>39</v>
      </c>
      <c r="C44" t="s">
        <v>22</v>
      </c>
      <c r="D44" t="s">
        <v>28</v>
      </c>
      <c r="E44">
        <v>1001</v>
      </c>
      <c r="F44">
        <v>5002</v>
      </c>
      <c r="G44">
        <v>50.52</v>
      </c>
      <c r="H44">
        <v>0.50519999999999998</v>
      </c>
      <c r="I44" t="s">
        <v>36</v>
      </c>
      <c r="J44">
        <f t="shared" si="0"/>
        <v>0.50519999999999998</v>
      </c>
      <c r="K44" t="str">
        <f t="shared" si="1"/>
        <v>50~55</v>
      </c>
      <c r="L44" t="str">
        <f t="shared" si="2"/>
        <v>HOME</v>
      </c>
      <c r="M44" t="str">
        <f t="shared" si="3"/>
        <v/>
      </c>
      <c r="N44" t="s">
        <v>31</v>
      </c>
      <c r="O44" t="str">
        <f t="shared" si="4"/>
        <v/>
      </c>
    </row>
    <row r="45" spans="1:15" x14ac:dyDescent="0.6">
      <c r="A45">
        <v>20260089</v>
      </c>
      <c r="B45" t="s">
        <v>39</v>
      </c>
      <c r="C45" t="s">
        <v>23</v>
      </c>
      <c r="D45" t="s">
        <v>20</v>
      </c>
      <c r="E45">
        <v>3001</v>
      </c>
      <c r="F45">
        <v>7002</v>
      </c>
      <c r="G45">
        <v>42.85</v>
      </c>
      <c r="H45">
        <v>0.42849999999999999</v>
      </c>
      <c r="I45" t="s">
        <v>36</v>
      </c>
      <c r="J45">
        <f t="shared" si="0"/>
        <v>0.57150000000000001</v>
      </c>
      <c r="K45" t="str">
        <f t="shared" si="1"/>
        <v>55~60</v>
      </c>
      <c r="L45" t="str">
        <f t="shared" si="2"/>
        <v>AWAY</v>
      </c>
      <c r="M45" t="str">
        <f t="shared" si="3"/>
        <v/>
      </c>
      <c r="N45" t="s">
        <v>31</v>
      </c>
      <c r="O45" t="str">
        <f t="shared" si="4"/>
        <v/>
      </c>
    </row>
    <row r="46" spans="1:15" x14ac:dyDescent="0.6">
      <c r="A46">
        <v>20260090</v>
      </c>
      <c r="B46" t="s">
        <v>39</v>
      </c>
      <c r="C46" t="s">
        <v>27</v>
      </c>
      <c r="D46" t="s">
        <v>19</v>
      </c>
      <c r="E46">
        <v>11001</v>
      </c>
      <c r="F46">
        <v>9002</v>
      </c>
      <c r="G46">
        <v>49.71</v>
      </c>
      <c r="H46">
        <v>0.49709999999999999</v>
      </c>
      <c r="I46" t="s">
        <v>36</v>
      </c>
      <c r="J46">
        <f t="shared" si="0"/>
        <v>0.50290000000000001</v>
      </c>
      <c r="K46" t="str">
        <f t="shared" si="1"/>
        <v>50~55</v>
      </c>
      <c r="L46" t="str">
        <f t="shared" si="2"/>
        <v>AWAY</v>
      </c>
      <c r="M46" t="str">
        <f t="shared" si="3"/>
        <v/>
      </c>
      <c r="N46" t="s">
        <v>31</v>
      </c>
      <c r="O46" t="str">
        <f t="shared" si="4"/>
        <v/>
      </c>
    </row>
    <row r="47" spans="1:15" x14ac:dyDescent="0.6">
      <c r="A47">
        <v>20260091</v>
      </c>
      <c r="B47" t="s">
        <v>40</v>
      </c>
      <c r="C47" t="s">
        <v>16</v>
      </c>
      <c r="D47" t="s">
        <v>21</v>
      </c>
      <c r="E47">
        <v>6002</v>
      </c>
      <c r="F47">
        <v>2002</v>
      </c>
      <c r="G47">
        <v>31.55</v>
      </c>
      <c r="H47">
        <v>0.3155</v>
      </c>
      <c r="I47" t="s">
        <v>30</v>
      </c>
      <c r="J47">
        <f t="shared" si="0"/>
        <v>0.6845</v>
      </c>
      <c r="K47" t="str">
        <f t="shared" si="1"/>
        <v>65~70</v>
      </c>
      <c r="L47" t="str">
        <f t="shared" si="2"/>
        <v>AWAY</v>
      </c>
      <c r="M47">
        <f t="shared" si="3"/>
        <v>9.9540249999999997E-2</v>
      </c>
      <c r="N47">
        <v>1</v>
      </c>
      <c r="O47">
        <f t="shared" si="4"/>
        <v>0</v>
      </c>
    </row>
    <row r="48" spans="1:15" x14ac:dyDescent="0.6">
      <c r="A48">
        <v>20260092</v>
      </c>
      <c r="B48" t="s">
        <v>40</v>
      </c>
      <c r="C48" t="s">
        <v>24</v>
      </c>
      <c r="D48" t="s">
        <v>17</v>
      </c>
      <c r="E48">
        <v>12001</v>
      </c>
      <c r="F48">
        <v>10001</v>
      </c>
      <c r="G48">
        <v>56.35</v>
      </c>
      <c r="H48">
        <v>0.5635</v>
      </c>
      <c r="I48" t="s">
        <v>30</v>
      </c>
      <c r="J48">
        <f t="shared" si="0"/>
        <v>0.5635</v>
      </c>
      <c r="K48" t="str">
        <f t="shared" si="1"/>
        <v>55~60</v>
      </c>
      <c r="L48" t="str">
        <f t="shared" si="2"/>
        <v>HOME</v>
      </c>
      <c r="M48">
        <f t="shared" si="3"/>
        <v>0.19053224999999999</v>
      </c>
      <c r="N48">
        <v>1</v>
      </c>
      <c r="O48">
        <f t="shared" si="4"/>
        <v>1</v>
      </c>
    </row>
    <row r="49" spans="1:15" x14ac:dyDescent="0.6">
      <c r="A49">
        <v>20260093</v>
      </c>
      <c r="B49" t="s">
        <v>40</v>
      </c>
      <c r="C49" t="s">
        <v>22</v>
      </c>
      <c r="D49" t="s">
        <v>28</v>
      </c>
      <c r="E49">
        <v>1001</v>
      </c>
      <c r="F49">
        <v>5002</v>
      </c>
      <c r="G49">
        <v>44.98</v>
      </c>
      <c r="H49">
        <v>0.44979999999999998</v>
      </c>
      <c r="I49" t="s">
        <v>30</v>
      </c>
      <c r="J49">
        <f t="shared" si="0"/>
        <v>0.55020000000000002</v>
      </c>
      <c r="K49" t="str">
        <f t="shared" si="1"/>
        <v>55~60</v>
      </c>
      <c r="L49" t="str">
        <f t="shared" si="2"/>
        <v>AWAY</v>
      </c>
      <c r="M49">
        <f t="shared" si="3"/>
        <v>0.20232003999999998</v>
      </c>
      <c r="N49">
        <v>1</v>
      </c>
      <c r="O49">
        <f t="shared" si="4"/>
        <v>0</v>
      </c>
    </row>
    <row r="50" spans="1:15" x14ac:dyDescent="0.6">
      <c r="A50">
        <v>20260094</v>
      </c>
      <c r="B50" t="s">
        <v>40</v>
      </c>
      <c r="C50" t="s">
        <v>23</v>
      </c>
      <c r="D50" t="s">
        <v>20</v>
      </c>
      <c r="E50">
        <v>3001</v>
      </c>
      <c r="F50">
        <v>7002</v>
      </c>
      <c r="G50">
        <v>42.59</v>
      </c>
      <c r="H50">
        <v>0.4259</v>
      </c>
      <c r="I50" t="s">
        <v>30</v>
      </c>
      <c r="J50">
        <f t="shared" si="0"/>
        <v>0.57410000000000005</v>
      </c>
      <c r="K50" t="str">
        <f t="shared" si="1"/>
        <v>55~60</v>
      </c>
      <c r="L50" t="str">
        <f t="shared" si="2"/>
        <v>AWAY</v>
      </c>
      <c r="M50">
        <f t="shared" si="3"/>
        <v>0.32959081000000007</v>
      </c>
      <c r="N50">
        <v>0</v>
      </c>
      <c r="O50">
        <f t="shared" si="4"/>
        <v>1</v>
      </c>
    </row>
    <row r="51" spans="1:15" x14ac:dyDescent="0.6">
      <c r="A51">
        <v>20260095</v>
      </c>
      <c r="B51" t="s">
        <v>40</v>
      </c>
      <c r="C51" t="s">
        <v>27</v>
      </c>
      <c r="D51" t="s">
        <v>19</v>
      </c>
      <c r="E51">
        <v>11001</v>
      </c>
      <c r="F51">
        <v>9002</v>
      </c>
      <c r="G51">
        <v>58.07</v>
      </c>
      <c r="H51">
        <v>0.58069999999999999</v>
      </c>
      <c r="I51" t="s">
        <v>30</v>
      </c>
      <c r="J51">
        <f t="shared" si="0"/>
        <v>0.58069999999999999</v>
      </c>
      <c r="K51" t="str">
        <f t="shared" si="1"/>
        <v>55~60</v>
      </c>
      <c r="L51" t="str">
        <f t="shared" si="2"/>
        <v>HOME</v>
      </c>
      <c r="M51">
        <f t="shared" si="3"/>
        <v>0.33721248999999998</v>
      </c>
      <c r="N51">
        <v>0</v>
      </c>
      <c r="O51">
        <f t="shared" si="4"/>
        <v>0</v>
      </c>
    </row>
    <row r="52" spans="1:15" x14ac:dyDescent="0.6">
      <c r="A52">
        <v>20260096</v>
      </c>
      <c r="B52" t="s">
        <v>41</v>
      </c>
      <c r="C52" t="s">
        <v>16</v>
      </c>
      <c r="D52" t="s">
        <v>21</v>
      </c>
      <c r="E52">
        <v>6002</v>
      </c>
      <c r="F52">
        <v>2002</v>
      </c>
      <c r="G52">
        <v>56.92</v>
      </c>
      <c r="H52">
        <v>0.56920000000000004</v>
      </c>
      <c r="I52" t="s">
        <v>30</v>
      </c>
      <c r="J52">
        <f t="shared" si="0"/>
        <v>0.56920000000000004</v>
      </c>
      <c r="K52" t="str">
        <f t="shared" si="1"/>
        <v>55~60</v>
      </c>
      <c r="L52" t="str">
        <f t="shared" si="2"/>
        <v>HOME</v>
      </c>
      <c r="M52">
        <f t="shared" si="3"/>
        <v>0.18558863999999997</v>
      </c>
      <c r="N52">
        <v>1</v>
      </c>
      <c r="O52">
        <f t="shared" si="4"/>
        <v>1</v>
      </c>
    </row>
    <row r="53" spans="1:15" x14ac:dyDescent="0.6">
      <c r="A53">
        <v>20260097</v>
      </c>
      <c r="B53" t="s">
        <v>41</v>
      </c>
      <c r="C53" t="s">
        <v>24</v>
      </c>
      <c r="D53" t="s">
        <v>17</v>
      </c>
      <c r="E53">
        <v>12001</v>
      </c>
      <c r="F53">
        <v>10001</v>
      </c>
      <c r="G53">
        <v>63.18</v>
      </c>
      <c r="H53">
        <v>0.63180000000000003</v>
      </c>
      <c r="I53" t="s">
        <v>30</v>
      </c>
      <c r="J53">
        <f t="shared" si="0"/>
        <v>0.63180000000000003</v>
      </c>
      <c r="K53" t="str">
        <f t="shared" si="1"/>
        <v>60~65</v>
      </c>
      <c r="L53" t="str">
        <f t="shared" si="2"/>
        <v>HOME</v>
      </c>
      <c r="M53">
        <f t="shared" si="3"/>
        <v>0.39917124000000004</v>
      </c>
      <c r="N53">
        <v>0</v>
      </c>
      <c r="O53">
        <f t="shared" si="4"/>
        <v>0</v>
      </c>
    </row>
    <row r="54" spans="1:15" x14ac:dyDescent="0.6">
      <c r="A54">
        <v>20260098</v>
      </c>
      <c r="B54" t="s">
        <v>41</v>
      </c>
      <c r="C54" t="s">
        <v>22</v>
      </c>
      <c r="D54" t="s">
        <v>28</v>
      </c>
      <c r="E54">
        <v>1001</v>
      </c>
      <c r="F54">
        <v>5002</v>
      </c>
      <c r="G54">
        <v>60.41</v>
      </c>
      <c r="H54">
        <v>0.60409999999999997</v>
      </c>
      <c r="I54" t="s">
        <v>30</v>
      </c>
      <c r="J54">
        <f t="shared" si="0"/>
        <v>0.60409999999999997</v>
      </c>
      <c r="K54" t="str">
        <f t="shared" si="1"/>
        <v>60~65</v>
      </c>
      <c r="L54" t="str">
        <f t="shared" si="2"/>
        <v>HOME</v>
      </c>
      <c r="M54">
        <f t="shared" si="3"/>
        <v>0.36493680999999994</v>
      </c>
      <c r="N54">
        <v>0</v>
      </c>
      <c r="O54">
        <f t="shared" si="4"/>
        <v>0</v>
      </c>
    </row>
    <row r="55" spans="1:15" x14ac:dyDescent="0.6">
      <c r="A55">
        <v>20260099</v>
      </c>
      <c r="B55" t="s">
        <v>41</v>
      </c>
      <c r="C55" t="s">
        <v>23</v>
      </c>
      <c r="D55" t="s">
        <v>20</v>
      </c>
      <c r="E55">
        <v>3001</v>
      </c>
      <c r="F55">
        <v>7002</v>
      </c>
      <c r="G55">
        <v>72.739999999999995</v>
      </c>
      <c r="H55">
        <v>0.72740000000000005</v>
      </c>
      <c r="I55" t="s">
        <v>30</v>
      </c>
      <c r="J55">
        <f t="shared" si="0"/>
        <v>0.72740000000000005</v>
      </c>
      <c r="K55" t="str">
        <f t="shared" si="1"/>
        <v>70~100</v>
      </c>
      <c r="L55" t="str">
        <f t="shared" si="2"/>
        <v>HOME</v>
      </c>
      <c r="M55">
        <f t="shared" si="3"/>
        <v>7.4310759999999976E-2</v>
      </c>
      <c r="N55">
        <v>1</v>
      </c>
      <c r="O55">
        <f t="shared" si="4"/>
        <v>1</v>
      </c>
    </row>
    <row r="56" spans="1:15" x14ac:dyDescent="0.6">
      <c r="A56">
        <v>20260100</v>
      </c>
      <c r="B56" t="s">
        <v>41</v>
      </c>
      <c r="C56" t="s">
        <v>27</v>
      </c>
      <c r="D56" t="s">
        <v>19</v>
      </c>
      <c r="E56">
        <v>11001</v>
      </c>
      <c r="F56">
        <v>9002</v>
      </c>
      <c r="G56">
        <v>74.58</v>
      </c>
      <c r="H56">
        <v>0.74580000000000002</v>
      </c>
      <c r="I56" t="s">
        <v>30</v>
      </c>
      <c r="J56">
        <f t="shared" si="0"/>
        <v>0.74580000000000002</v>
      </c>
      <c r="K56" t="str">
        <f t="shared" si="1"/>
        <v>70~100</v>
      </c>
      <c r="L56" t="str">
        <f t="shared" si="2"/>
        <v>HOME</v>
      </c>
      <c r="M56">
        <f t="shared" si="3"/>
        <v>0.55621764000000007</v>
      </c>
      <c r="N56">
        <v>0</v>
      </c>
      <c r="O56">
        <f t="shared" si="4"/>
        <v>0</v>
      </c>
    </row>
    <row r="57" spans="1:15" x14ac:dyDescent="0.6">
      <c r="A57">
        <v>20260101</v>
      </c>
      <c r="B57" t="s">
        <v>42</v>
      </c>
      <c r="C57" t="s">
        <v>28</v>
      </c>
      <c r="D57" t="s">
        <v>20</v>
      </c>
      <c r="E57">
        <v>5002</v>
      </c>
      <c r="F57">
        <v>7002</v>
      </c>
      <c r="G57">
        <v>60.2</v>
      </c>
      <c r="H57">
        <v>0.60199999999999998</v>
      </c>
      <c r="I57" t="s">
        <v>18</v>
      </c>
      <c r="J57">
        <f t="shared" si="0"/>
        <v>0.60199999999999998</v>
      </c>
      <c r="K57" t="str">
        <f t="shared" si="1"/>
        <v>60~65</v>
      </c>
      <c r="L57" t="str">
        <f t="shared" si="2"/>
        <v>HOME</v>
      </c>
      <c r="M57">
        <f t="shared" si="3"/>
        <v>0.15840400000000002</v>
      </c>
      <c r="N57">
        <v>1</v>
      </c>
      <c r="O57">
        <f t="shared" si="4"/>
        <v>1</v>
      </c>
    </row>
    <row r="58" spans="1:15" x14ac:dyDescent="0.6">
      <c r="A58">
        <v>20260102</v>
      </c>
      <c r="B58" t="s">
        <v>42</v>
      </c>
      <c r="C58" t="s">
        <v>17</v>
      </c>
      <c r="D58" t="s">
        <v>27</v>
      </c>
      <c r="E58">
        <v>10001</v>
      </c>
      <c r="F58">
        <v>11001</v>
      </c>
      <c r="G58">
        <v>37.090000000000003</v>
      </c>
      <c r="H58">
        <v>0.37090000000000001</v>
      </c>
      <c r="I58" t="s">
        <v>18</v>
      </c>
      <c r="J58">
        <f t="shared" si="0"/>
        <v>0.62909999999999999</v>
      </c>
      <c r="K58" t="str">
        <f t="shared" si="1"/>
        <v>60~65</v>
      </c>
      <c r="L58" t="str">
        <f t="shared" si="2"/>
        <v>AWAY</v>
      </c>
      <c r="M58">
        <f t="shared" si="3"/>
        <v>0.13756681000000001</v>
      </c>
      <c r="N58">
        <v>1</v>
      </c>
      <c r="O58">
        <f t="shared" si="4"/>
        <v>0</v>
      </c>
    </row>
    <row r="59" spans="1:15" x14ac:dyDescent="0.6">
      <c r="A59">
        <v>20260103</v>
      </c>
      <c r="B59" t="s">
        <v>42</v>
      </c>
      <c r="C59" t="s">
        <v>24</v>
      </c>
      <c r="D59" t="s">
        <v>21</v>
      </c>
      <c r="E59">
        <v>12001</v>
      </c>
      <c r="F59">
        <v>2002</v>
      </c>
      <c r="G59">
        <v>84.6</v>
      </c>
      <c r="H59">
        <v>0.84599999999999997</v>
      </c>
      <c r="I59" t="s">
        <v>18</v>
      </c>
      <c r="J59">
        <f t="shared" si="0"/>
        <v>0.84599999999999997</v>
      </c>
      <c r="K59" t="str">
        <f t="shared" si="1"/>
        <v>70~100</v>
      </c>
      <c r="L59" t="str">
        <f t="shared" si="2"/>
        <v>HOME</v>
      </c>
      <c r="M59">
        <f t="shared" si="3"/>
        <v>2.3716000000000008E-2</v>
      </c>
      <c r="N59">
        <v>1</v>
      </c>
      <c r="O59">
        <f t="shared" si="4"/>
        <v>1</v>
      </c>
    </row>
    <row r="60" spans="1:15" x14ac:dyDescent="0.6">
      <c r="A60">
        <v>20260104</v>
      </c>
      <c r="B60" t="s">
        <v>42</v>
      </c>
      <c r="C60" t="s">
        <v>22</v>
      </c>
      <c r="D60" t="s">
        <v>19</v>
      </c>
      <c r="E60">
        <v>1001</v>
      </c>
      <c r="F60">
        <v>9002</v>
      </c>
      <c r="G60">
        <v>53.4</v>
      </c>
      <c r="H60">
        <v>0.53400000000000003</v>
      </c>
      <c r="I60" t="s">
        <v>18</v>
      </c>
      <c r="J60">
        <f t="shared" si="0"/>
        <v>0.53400000000000003</v>
      </c>
      <c r="K60" t="str">
        <f t="shared" si="1"/>
        <v>50~55</v>
      </c>
      <c r="L60" t="str">
        <f t="shared" si="2"/>
        <v>HOME</v>
      </c>
      <c r="M60">
        <f t="shared" si="3"/>
        <v>0.28515600000000002</v>
      </c>
      <c r="N60">
        <v>0</v>
      </c>
      <c r="O60">
        <f t="shared" si="4"/>
        <v>0</v>
      </c>
    </row>
    <row r="61" spans="1:15" x14ac:dyDescent="0.6">
      <c r="A61">
        <v>20260105</v>
      </c>
      <c r="B61" t="s">
        <v>42</v>
      </c>
      <c r="C61" t="s">
        <v>23</v>
      </c>
      <c r="D61" t="s">
        <v>16</v>
      </c>
      <c r="E61">
        <v>3001</v>
      </c>
      <c r="F61">
        <v>6002</v>
      </c>
      <c r="G61">
        <v>60.27</v>
      </c>
      <c r="H61">
        <v>0.60270000000000001</v>
      </c>
      <c r="I61" t="s">
        <v>18</v>
      </c>
      <c r="J61">
        <f t="shared" si="0"/>
        <v>0.60270000000000001</v>
      </c>
      <c r="K61" t="str">
        <f t="shared" si="1"/>
        <v>60~65</v>
      </c>
      <c r="L61" t="str">
        <f t="shared" si="2"/>
        <v>HOME</v>
      </c>
      <c r="M61">
        <f t="shared" si="3"/>
        <v>0.36324729</v>
      </c>
      <c r="N61">
        <v>0</v>
      </c>
      <c r="O61">
        <f t="shared" si="4"/>
        <v>0</v>
      </c>
    </row>
    <row r="62" spans="1:15" x14ac:dyDescent="0.6">
      <c r="A62">
        <v>20260106</v>
      </c>
      <c r="B62" t="s">
        <v>43</v>
      </c>
      <c r="C62" t="s">
        <v>28</v>
      </c>
      <c r="D62" t="s">
        <v>20</v>
      </c>
      <c r="E62">
        <v>5002</v>
      </c>
      <c r="F62">
        <v>7002</v>
      </c>
      <c r="G62">
        <v>36.57</v>
      </c>
      <c r="H62">
        <v>0.36570000000000003</v>
      </c>
      <c r="I62" t="s">
        <v>18</v>
      </c>
      <c r="J62">
        <f t="shared" si="0"/>
        <v>0.63429999999999997</v>
      </c>
      <c r="K62" t="str">
        <f t="shared" si="1"/>
        <v>60~65</v>
      </c>
      <c r="L62" t="str">
        <f t="shared" si="2"/>
        <v>AWAY</v>
      </c>
      <c r="M62">
        <f t="shared" si="3"/>
        <v>0.13373649000000001</v>
      </c>
      <c r="N62">
        <v>1</v>
      </c>
      <c r="O62">
        <f t="shared" si="4"/>
        <v>0</v>
      </c>
    </row>
    <row r="63" spans="1:15" x14ac:dyDescent="0.6">
      <c r="A63">
        <v>20260107</v>
      </c>
      <c r="B63" t="s">
        <v>43</v>
      </c>
      <c r="C63" t="s">
        <v>17</v>
      </c>
      <c r="D63" t="s">
        <v>27</v>
      </c>
      <c r="E63">
        <v>10001</v>
      </c>
      <c r="F63">
        <v>11001</v>
      </c>
      <c r="G63">
        <v>64.45</v>
      </c>
      <c r="H63">
        <v>0.64449999999999996</v>
      </c>
      <c r="I63" t="s">
        <v>18</v>
      </c>
      <c r="J63">
        <f t="shared" si="0"/>
        <v>0.64449999999999996</v>
      </c>
      <c r="K63" t="str">
        <f t="shared" si="1"/>
        <v>60~65</v>
      </c>
      <c r="L63" t="str">
        <f t="shared" si="2"/>
        <v>HOME</v>
      </c>
      <c r="M63">
        <f t="shared" si="3"/>
        <v>0.12638025000000003</v>
      </c>
      <c r="N63">
        <v>1</v>
      </c>
      <c r="O63">
        <f t="shared" si="4"/>
        <v>1</v>
      </c>
    </row>
    <row r="64" spans="1:15" x14ac:dyDescent="0.6">
      <c r="A64">
        <v>20260108</v>
      </c>
      <c r="B64" t="s">
        <v>43</v>
      </c>
      <c r="C64" t="s">
        <v>24</v>
      </c>
      <c r="D64" t="s">
        <v>21</v>
      </c>
      <c r="E64">
        <v>12001</v>
      </c>
      <c r="F64">
        <v>2002</v>
      </c>
      <c r="G64">
        <v>34.28</v>
      </c>
      <c r="H64">
        <v>0.34279999999999999</v>
      </c>
      <c r="I64" t="s">
        <v>18</v>
      </c>
      <c r="J64">
        <f t="shared" si="0"/>
        <v>0.65720000000000001</v>
      </c>
      <c r="K64" t="str">
        <f t="shared" si="1"/>
        <v>65~70</v>
      </c>
      <c r="L64" t="str">
        <f t="shared" si="2"/>
        <v>AWAY</v>
      </c>
      <c r="M64">
        <f t="shared" si="3"/>
        <v>0.11751183999999999</v>
      </c>
      <c r="N64">
        <v>1</v>
      </c>
      <c r="O64">
        <f t="shared" si="4"/>
        <v>0</v>
      </c>
    </row>
    <row r="65" spans="1:15" x14ac:dyDescent="0.6">
      <c r="A65">
        <v>20260109</v>
      </c>
      <c r="B65" t="s">
        <v>43</v>
      </c>
      <c r="C65" t="s">
        <v>22</v>
      </c>
      <c r="D65" t="s">
        <v>19</v>
      </c>
      <c r="E65">
        <v>1001</v>
      </c>
      <c r="F65">
        <v>9002</v>
      </c>
      <c r="G65">
        <v>53.52</v>
      </c>
      <c r="H65">
        <v>0.53520000000000001</v>
      </c>
      <c r="I65" t="s">
        <v>18</v>
      </c>
      <c r="J65">
        <f t="shared" si="0"/>
        <v>0.53520000000000001</v>
      </c>
      <c r="K65" t="str">
        <f t="shared" si="1"/>
        <v>50~55</v>
      </c>
      <c r="L65" t="str">
        <f t="shared" si="2"/>
        <v>HOME</v>
      </c>
      <c r="M65">
        <f t="shared" si="3"/>
        <v>0.28643904000000003</v>
      </c>
      <c r="N65">
        <v>0</v>
      </c>
      <c r="O65">
        <f t="shared" si="4"/>
        <v>0</v>
      </c>
    </row>
    <row r="66" spans="1:15" x14ac:dyDescent="0.6">
      <c r="A66">
        <v>20260110</v>
      </c>
      <c r="B66" t="s">
        <v>43</v>
      </c>
      <c r="C66" t="s">
        <v>23</v>
      </c>
      <c r="D66" t="s">
        <v>16</v>
      </c>
      <c r="E66">
        <v>3001</v>
      </c>
      <c r="F66">
        <v>6002</v>
      </c>
      <c r="G66">
        <v>49.38</v>
      </c>
      <c r="H66">
        <v>0.49380000000000002</v>
      </c>
      <c r="I66" t="s">
        <v>18</v>
      </c>
      <c r="J66">
        <f t="shared" ref="J66:J129" si="5">MAX(H66,1-H66)</f>
        <v>0.50619999999999998</v>
      </c>
      <c r="K66" t="str">
        <f t="shared" ref="K66:K129" si="6">_xlfn.IFS(
J66&lt;=0.55,"50~55",
J66&lt;=0.6,"55~60",
J66&lt;=0.65,"60~65",
J66&lt;=0.7,"65~70",
TRUE,"70~100"
)</f>
        <v>50~55</v>
      </c>
      <c r="L66" t="str">
        <f t="shared" ref="L66:L129" si="7">IF(H66&gt;=0.5,"HOME","AWAY")</f>
        <v>AWAY</v>
      </c>
      <c r="M66">
        <f t="shared" ref="M66:M129" si="8">IF(AND(N66&lt;&gt;"", OR(N66=0, N66=1)), (J66-N66)^2, "")</f>
        <v>0.25623843999999996</v>
      </c>
      <c r="N66">
        <v>0</v>
      </c>
      <c r="O66">
        <f t="shared" ref="O66:O129" si="9">IF(AND(N66&lt;&gt;"", OR(N66=0, N66=1)), IF(ROUND(H66,0)=N66, 1, 0), "")</f>
        <v>1</v>
      </c>
    </row>
    <row r="67" spans="1:15" x14ac:dyDescent="0.6">
      <c r="A67">
        <v>20260111</v>
      </c>
      <c r="B67" t="s">
        <v>44</v>
      </c>
      <c r="C67" t="s">
        <v>28</v>
      </c>
      <c r="D67" t="s">
        <v>20</v>
      </c>
      <c r="E67">
        <v>5002</v>
      </c>
      <c r="F67">
        <v>7002</v>
      </c>
      <c r="G67">
        <v>27.98</v>
      </c>
      <c r="H67">
        <v>0.27979999999999999</v>
      </c>
      <c r="I67" t="s">
        <v>45</v>
      </c>
      <c r="J67">
        <f t="shared" si="5"/>
        <v>0.72019999999999995</v>
      </c>
      <c r="K67" t="str">
        <f t="shared" si="6"/>
        <v>70~100</v>
      </c>
      <c r="L67" t="str">
        <f t="shared" si="7"/>
        <v>AWAY</v>
      </c>
      <c r="M67">
        <f t="shared" si="8"/>
        <v>0.51868803999999991</v>
      </c>
      <c r="N67">
        <v>0</v>
      </c>
      <c r="O67">
        <f t="shared" si="9"/>
        <v>1</v>
      </c>
    </row>
    <row r="68" spans="1:15" x14ac:dyDescent="0.6">
      <c r="A68">
        <v>20260112</v>
      </c>
      <c r="B68" t="s">
        <v>44</v>
      </c>
      <c r="C68" t="s">
        <v>17</v>
      </c>
      <c r="D68" t="s">
        <v>27</v>
      </c>
      <c r="E68">
        <v>10001</v>
      </c>
      <c r="F68">
        <v>11001</v>
      </c>
      <c r="G68">
        <v>31.51</v>
      </c>
      <c r="H68">
        <v>0.31509999999999999</v>
      </c>
      <c r="I68" t="s">
        <v>45</v>
      </c>
      <c r="J68">
        <f t="shared" si="5"/>
        <v>0.68490000000000006</v>
      </c>
      <c r="K68" t="str">
        <f t="shared" si="6"/>
        <v>65~70</v>
      </c>
      <c r="L68" t="str">
        <f t="shared" si="7"/>
        <v>AWAY</v>
      </c>
      <c r="M68">
        <f t="shared" si="8"/>
        <v>0.46908801000000011</v>
      </c>
      <c r="N68">
        <v>0</v>
      </c>
      <c r="O68">
        <f t="shared" si="9"/>
        <v>1</v>
      </c>
    </row>
    <row r="69" spans="1:15" x14ac:dyDescent="0.6">
      <c r="A69">
        <v>20260113</v>
      </c>
      <c r="B69" t="s">
        <v>44</v>
      </c>
      <c r="C69" t="s">
        <v>24</v>
      </c>
      <c r="D69" t="s">
        <v>21</v>
      </c>
      <c r="E69">
        <v>12001</v>
      </c>
      <c r="F69">
        <v>2002</v>
      </c>
      <c r="G69">
        <v>66.39</v>
      </c>
      <c r="H69">
        <v>0.66390000000000005</v>
      </c>
      <c r="I69" t="s">
        <v>45</v>
      </c>
      <c r="J69">
        <f t="shared" si="5"/>
        <v>0.66390000000000005</v>
      </c>
      <c r="K69" t="str">
        <f t="shared" si="6"/>
        <v>65~70</v>
      </c>
      <c r="L69" t="str">
        <f t="shared" si="7"/>
        <v>HOME</v>
      </c>
      <c r="M69">
        <f t="shared" si="8"/>
        <v>0.11296320999999997</v>
      </c>
      <c r="N69">
        <v>1</v>
      </c>
      <c r="O69">
        <f t="shared" si="9"/>
        <v>1</v>
      </c>
    </row>
    <row r="70" spans="1:15" x14ac:dyDescent="0.6">
      <c r="A70">
        <v>20260114</v>
      </c>
      <c r="B70" t="s">
        <v>44</v>
      </c>
      <c r="C70" t="s">
        <v>22</v>
      </c>
      <c r="D70" t="s">
        <v>19</v>
      </c>
      <c r="E70">
        <v>1001</v>
      </c>
      <c r="F70">
        <v>9002</v>
      </c>
      <c r="G70">
        <v>43.72</v>
      </c>
      <c r="H70">
        <v>0.43719999999999998</v>
      </c>
      <c r="I70" t="s">
        <v>45</v>
      </c>
      <c r="J70">
        <f t="shared" si="5"/>
        <v>0.56279999999999997</v>
      </c>
      <c r="K70" t="str">
        <f t="shared" si="6"/>
        <v>55~60</v>
      </c>
      <c r="L70" t="str">
        <f t="shared" si="7"/>
        <v>AWAY</v>
      </c>
      <c r="M70">
        <f t="shared" si="8"/>
        <v>0.31674383999999994</v>
      </c>
      <c r="N70">
        <v>0</v>
      </c>
      <c r="O70">
        <f t="shared" si="9"/>
        <v>1</v>
      </c>
    </row>
    <row r="71" spans="1:15" x14ac:dyDescent="0.6">
      <c r="A71">
        <v>20260115</v>
      </c>
      <c r="B71" t="s">
        <v>44</v>
      </c>
      <c r="C71" t="s">
        <v>23</v>
      </c>
      <c r="D71" t="s">
        <v>16</v>
      </c>
      <c r="E71">
        <v>3001</v>
      </c>
      <c r="F71">
        <v>6002</v>
      </c>
      <c r="G71">
        <v>38.880000000000003</v>
      </c>
      <c r="H71">
        <v>0.38879999999999998</v>
      </c>
      <c r="I71" t="s">
        <v>45</v>
      </c>
      <c r="J71">
        <f t="shared" si="5"/>
        <v>0.61119999999999997</v>
      </c>
      <c r="K71" t="str">
        <f t="shared" si="6"/>
        <v>60~65</v>
      </c>
      <c r="L71" t="str">
        <f t="shared" si="7"/>
        <v>AWAY</v>
      </c>
      <c r="M71">
        <f t="shared" si="8"/>
        <v>0.15116544000000004</v>
      </c>
      <c r="N71">
        <v>1</v>
      </c>
      <c r="O71">
        <f t="shared" si="9"/>
        <v>0</v>
      </c>
    </row>
    <row r="72" spans="1:15" x14ac:dyDescent="0.6">
      <c r="A72">
        <v>20260116</v>
      </c>
      <c r="B72" t="s">
        <v>46</v>
      </c>
      <c r="C72" t="s">
        <v>16</v>
      </c>
      <c r="D72" t="s">
        <v>28</v>
      </c>
      <c r="E72">
        <v>6002</v>
      </c>
      <c r="F72">
        <v>5002</v>
      </c>
      <c r="G72">
        <v>53.33</v>
      </c>
      <c r="H72">
        <v>0.5333</v>
      </c>
      <c r="I72" t="s">
        <v>45</v>
      </c>
      <c r="J72">
        <f t="shared" si="5"/>
        <v>0.5333</v>
      </c>
      <c r="K72" t="str">
        <f t="shared" si="6"/>
        <v>50~55</v>
      </c>
      <c r="L72" t="str">
        <f t="shared" si="7"/>
        <v>HOME</v>
      </c>
      <c r="M72">
        <f t="shared" si="8"/>
        <v>0.28440888999999997</v>
      </c>
      <c r="N72">
        <v>0</v>
      </c>
      <c r="O72">
        <f t="shared" si="9"/>
        <v>0</v>
      </c>
    </row>
    <row r="73" spans="1:15" x14ac:dyDescent="0.6">
      <c r="A73">
        <v>20260117</v>
      </c>
      <c r="B73" t="s">
        <v>46</v>
      </c>
      <c r="C73" t="s">
        <v>17</v>
      </c>
      <c r="D73" t="s">
        <v>22</v>
      </c>
      <c r="E73">
        <v>10001</v>
      </c>
      <c r="F73">
        <v>1001</v>
      </c>
      <c r="G73">
        <v>60.71</v>
      </c>
      <c r="H73">
        <v>0.60709999999999997</v>
      </c>
      <c r="I73" t="s">
        <v>45</v>
      </c>
      <c r="J73">
        <f t="shared" si="5"/>
        <v>0.60709999999999997</v>
      </c>
      <c r="K73" t="str">
        <f t="shared" si="6"/>
        <v>60~65</v>
      </c>
      <c r="L73" t="str">
        <f t="shared" si="7"/>
        <v>HOME</v>
      </c>
      <c r="M73">
        <f t="shared" si="8"/>
        <v>0.15437041000000001</v>
      </c>
      <c r="N73">
        <v>1</v>
      </c>
      <c r="O73">
        <f t="shared" si="9"/>
        <v>1</v>
      </c>
    </row>
    <row r="74" spans="1:15" x14ac:dyDescent="0.6">
      <c r="A74">
        <v>20260118</v>
      </c>
      <c r="B74" t="s">
        <v>46</v>
      </c>
      <c r="C74" t="s">
        <v>19</v>
      </c>
      <c r="D74" t="s">
        <v>24</v>
      </c>
      <c r="E74">
        <v>9002</v>
      </c>
      <c r="F74">
        <v>12001</v>
      </c>
      <c r="G74">
        <v>19.149999999999999</v>
      </c>
      <c r="H74">
        <v>0.1915</v>
      </c>
      <c r="I74" t="s">
        <v>45</v>
      </c>
      <c r="J74">
        <f t="shared" si="5"/>
        <v>0.8085</v>
      </c>
      <c r="K74" t="str">
        <f t="shared" si="6"/>
        <v>70~100</v>
      </c>
      <c r="L74" t="str">
        <f t="shared" si="7"/>
        <v>AWAY</v>
      </c>
      <c r="M74">
        <f t="shared" si="8"/>
        <v>3.6672250000000003E-2</v>
      </c>
      <c r="N74">
        <v>1</v>
      </c>
      <c r="O74">
        <f t="shared" si="9"/>
        <v>0</v>
      </c>
    </row>
    <row r="75" spans="1:15" x14ac:dyDescent="0.6">
      <c r="A75">
        <v>20260119</v>
      </c>
      <c r="B75" t="s">
        <v>46</v>
      </c>
      <c r="C75" t="s">
        <v>20</v>
      </c>
      <c r="D75" t="s">
        <v>27</v>
      </c>
      <c r="E75">
        <v>7002</v>
      </c>
      <c r="F75">
        <v>11001</v>
      </c>
      <c r="G75">
        <v>60.9</v>
      </c>
      <c r="H75">
        <v>0.60899999999999999</v>
      </c>
      <c r="I75" t="s">
        <v>45</v>
      </c>
      <c r="J75">
        <f t="shared" si="5"/>
        <v>0.60899999999999999</v>
      </c>
      <c r="K75" t="str">
        <f t="shared" si="6"/>
        <v>60~65</v>
      </c>
      <c r="L75" t="str">
        <f t="shared" si="7"/>
        <v>HOME</v>
      </c>
      <c r="M75">
        <f t="shared" si="8"/>
        <v>0.37088099999999996</v>
      </c>
      <c r="N75">
        <v>0</v>
      </c>
      <c r="O75">
        <f t="shared" si="9"/>
        <v>0</v>
      </c>
    </row>
    <row r="76" spans="1:15" x14ac:dyDescent="0.6">
      <c r="A76">
        <v>20260120</v>
      </c>
      <c r="B76" t="s">
        <v>46</v>
      </c>
      <c r="C76" t="s">
        <v>21</v>
      </c>
      <c r="D76" t="s">
        <v>23</v>
      </c>
      <c r="E76">
        <v>2002</v>
      </c>
      <c r="F76">
        <v>3001</v>
      </c>
      <c r="G76">
        <v>66.59</v>
      </c>
      <c r="H76">
        <v>0.66590000000000005</v>
      </c>
      <c r="I76" t="s">
        <v>45</v>
      </c>
      <c r="J76">
        <f t="shared" si="5"/>
        <v>0.66590000000000005</v>
      </c>
      <c r="K76" t="str">
        <f t="shared" si="6"/>
        <v>65~70</v>
      </c>
      <c r="L76" t="str">
        <f t="shared" si="7"/>
        <v>HOME</v>
      </c>
      <c r="M76">
        <f t="shared" si="8"/>
        <v>0.11162280999999998</v>
      </c>
      <c r="N76">
        <v>1</v>
      </c>
      <c r="O76">
        <f t="shared" si="9"/>
        <v>1</v>
      </c>
    </row>
    <row r="77" spans="1:15" x14ac:dyDescent="0.6">
      <c r="A77">
        <v>20260121</v>
      </c>
      <c r="B77" t="s">
        <v>47</v>
      </c>
      <c r="C77" t="s">
        <v>16</v>
      </c>
      <c r="D77" t="s">
        <v>28</v>
      </c>
      <c r="E77">
        <v>6002</v>
      </c>
      <c r="F77">
        <v>5002</v>
      </c>
      <c r="G77">
        <v>56.75</v>
      </c>
      <c r="H77">
        <v>0.5675</v>
      </c>
      <c r="I77" t="s">
        <v>48</v>
      </c>
      <c r="J77">
        <f t="shared" si="5"/>
        <v>0.5675</v>
      </c>
      <c r="K77" t="str">
        <f t="shared" si="6"/>
        <v>55~60</v>
      </c>
      <c r="L77" t="str">
        <f t="shared" si="7"/>
        <v>HOME</v>
      </c>
      <c r="M77">
        <f t="shared" si="8"/>
        <v>0.32205624999999999</v>
      </c>
      <c r="N77">
        <v>0</v>
      </c>
      <c r="O77">
        <f t="shared" si="9"/>
        <v>0</v>
      </c>
    </row>
    <row r="78" spans="1:15" x14ac:dyDescent="0.6">
      <c r="A78">
        <v>20260122</v>
      </c>
      <c r="B78" t="s">
        <v>47</v>
      </c>
      <c r="C78" t="s">
        <v>17</v>
      </c>
      <c r="D78" t="s">
        <v>22</v>
      </c>
      <c r="E78">
        <v>10001</v>
      </c>
      <c r="F78">
        <v>1001</v>
      </c>
      <c r="G78">
        <v>46.12</v>
      </c>
      <c r="H78">
        <v>0.4612</v>
      </c>
      <c r="I78" t="s">
        <v>48</v>
      </c>
      <c r="J78">
        <f t="shared" si="5"/>
        <v>0.53879999999999995</v>
      </c>
      <c r="K78" t="str">
        <f t="shared" si="6"/>
        <v>50~55</v>
      </c>
      <c r="L78" t="str">
        <f t="shared" si="7"/>
        <v>AWAY</v>
      </c>
      <c r="M78">
        <f t="shared" si="8"/>
        <v>0.21270544000000005</v>
      </c>
      <c r="N78">
        <v>1</v>
      </c>
      <c r="O78">
        <f t="shared" si="9"/>
        <v>0</v>
      </c>
    </row>
    <row r="79" spans="1:15" x14ac:dyDescent="0.6">
      <c r="A79">
        <v>20260123</v>
      </c>
      <c r="B79" t="s">
        <v>47</v>
      </c>
      <c r="C79" t="s">
        <v>19</v>
      </c>
      <c r="D79" t="s">
        <v>24</v>
      </c>
      <c r="E79">
        <v>9002</v>
      </c>
      <c r="F79">
        <v>12001</v>
      </c>
      <c r="G79">
        <v>24.68</v>
      </c>
      <c r="H79">
        <v>0.24679999999999999</v>
      </c>
      <c r="I79" t="s">
        <v>48</v>
      </c>
      <c r="J79">
        <f t="shared" si="5"/>
        <v>0.75319999999999998</v>
      </c>
      <c r="K79" t="str">
        <f t="shared" si="6"/>
        <v>70~100</v>
      </c>
      <c r="L79" t="str">
        <f t="shared" si="7"/>
        <v>AWAY</v>
      </c>
      <c r="M79">
        <f t="shared" si="8"/>
        <v>6.0910240000000011E-2</v>
      </c>
      <c r="N79">
        <v>1</v>
      </c>
      <c r="O79">
        <f t="shared" si="9"/>
        <v>0</v>
      </c>
    </row>
    <row r="80" spans="1:15" x14ac:dyDescent="0.6">
      <c r="A80">
        <v>20260124</v>
      </c>
      <c r="B80" t="s">
        <v>47</v>
      </c>
      <c r="C80" t="s">
        <v>20</v>
      </c>
      <c r="D80" t="s">
        <v>27</v>
      </c>
      <c r="E80">
        <v>7002</v>
      </c>
      <c r="F80">
        <v>11001</v>
      </c>
      <c r="G80">
        <v>35.75</v>
      </c>
      <c r="H80">
        <v>0.35749999999999998</v>
      </c>
      <c r="I80" t="s">
        <v>48</v>
      </c>
      <c r="J80">
        <f t="shared" si="5"/>
        <v>0.64250000000000007</v>
      </c>
      <c r="K80" t="str">
        <f t="shared" si="6"/>
        <v>60~65</v>
      </c>
      <c r="L80" t="str">
        <f t="shared" si="7"/>
        <v>AWAY</v>
      </c>
      <c r="M80">
        <f t="shared" si="8"/>
        <v>0.12780624999999995</v>
      </c>
      <c r="N80">
        <v>1</v>
      </c>
      <c r="O80">
        <f t="shared" si="9"/>
        <v>0</v>
      </c>
    </row>
    <row r="81" spans="1:15" x14ac:dyDescent="0.6">
      <c r="A81">
        <v>20260125</v>
      </c>
      <c r="B81" t="s">
        <v>47</v>
      </c>
      <c r="C81" t="s">
        <v>21</v>
      </c>
      <c r="D81" t="s">
        <v>23</v>
      </c>
      <c r="E81">
        <v>2002</v>
      </c>
      <c r="F81">
        <v>3001</v>
      </c>
      <c r="G81">
        <v>45.31</v>
      </c>
      <c r="H81">
        <v>0.4531</v>
      </c>
      <c r="I81" t="s">
        <v>48</v>
      </c>
      <c r="J81">
        <f t="shared" si="5"/>
        <v>0.54689999999999994</v>
      </c>
      <c r="K81" t="str">
        <f t="shared" si="6"/>
        <v>50~55</v>
      </c>
      <c r="L81" t="str">
        <f t="shared" si="7"/>
        <v>AWAY</v>
      </c>
      <c r="M81">
        <f t="shared" si="8"/>
        <v>0.20529961000000005</v>
      </c>
      <c r="N81">
        <v>1</v>
      </c>
      <c r="O81">
        <f t="shared" si="9"/>
        <v>0</v>
      </c>
    </row>
    <row r="82" spans="1:15" x14ac:dyDescent="0.6">
      <c r="A82">
        <v>20260126</v>
      </c>
      <c r="B82" t="s">
        <v>49</v>
      </c>
      <c r="C82" t="s">
        <v>16</v>
      </c>
      <c r="D82" t="s">
        <v>28</v>
      </c>
      <c r="E82">
        <v>6002</v>
      </c>
      <c r="F82">
        <v>5002</v>
      </c>
      <c r="G82">
        <v>61.63</v>
      </c>
      <c r="H82">
        <v>0.61629999999999996</v>
      </c>
      <c r="I82" t="s">
        <v>45</v>
      </c>
      <c r="J82">
        <f t="shared" si="5"/>
        <v>0.61629999999999996</v>
      </c>
      <c r="K82" t="str">
        <f t="shared" si="6"/>
        <v>60~65</v>
      </c>
      <c r="L82" t="str">
        <f t="shared" si="7"/>
        <v>HOME</v>
      </c>
      <c r="M82">
        <f t="shared" si="8"/>
        <v>0.14722569000000002</v>
      </c>
      <c r="N82">
        <v>1</v>
      </c>
      <c r="O82">
        <f t="shared" si="9"/>
        <v>1</v>
      </c>
    </row>
    <row r="83" spans="1:15" x14ac:dyDescent="0.6">
      <c r="A83">
        <v>20260127</v>
      </c>
      <c r="B83" t="s">
        <v>49</v>
      </c>
      <c r="C83" t="s">
        <v>17</v>
      </c>
      <c r="D83" t="s">
        <v>22</v>
      </c>
      <c r="E83">
        <v>10001</v>
      </c>
      <c r="F83">
        <v>1001</v>
      </c>
      <c r="G83">
        <v>14.46</v>
      </c>
      <c r="H83">
        <v>0.14460000000000001</v>
      </c>
      <c r="I83" t="s">
        <v>45</v>
      </c>
      <c r="J83">
        <f t="shared" si="5"/>
        <v>0.85539999999999994</v>
      </c>
      <c r="K83" t="str">
        <f t="shared" si="6"/>
        <v>70~100</v>
      </c>
      <c r="L83" t="str">
        <f t="shared" si="7"/>
        <v>AWAY</v>
      </c>
      <c r="M83">
        <f t="shared" si="8"/>
        <v>2.0909160000000017E-2</v>
      </c>
      <c r="N83">
        <v>1</v>
      </c>
      <c r="O83">
        <f t="shared" si="9"/>
        <v>0</v>
      </c>
    </row>
    <row r="84" spans="1:15" x14ac:dyDescent="0.6">
      <c r="A84">
        <v>20260128</v>
      </c>
      <c r="B84" t="s">
        <v>49</v>
      </c>
      <c r="C84" t="s">
        <v>19</v>
      </c>
      <c r="D84" t="s">
        <v>24</v>
      </c>
      <c r="E84">
        <v>9002</v>
      </c>
      <c r="F84">
        <v>12001</v>
      </c>
      <c r="G84">
        <v>35.130000000000003</v>
      </c>
      <c r="H84">
        <v>0.3513</v>
      </c>
      <c r="I84" t="s">
        <v>45</v>
      </c>
      <c r="J84">
        <f t="shared" si="5"/>
        <v>0.64870000000000005</v>
      </c>
      <c r="K84" t="str">
        <f t="shared" si="6"/>
        <v>60~65</v>
      </c>
      <c r="L84" t="str">
        <f t="shared" si="7"/>
        <v>AWAY</v>
      </c>
      <c r="M84">
        <f t="shared" si="8"/>
        <v>0.42081169000000007</v>
      </c>
      <c r="N84">
        <v>0</v>
      </c>
      <c r="O84">
        <f t="shared" si="9"/>
        <v>1</v>
      </c>
    </row>
    <row r="85" spans="1:15" x14ac:dyDescent="0.6">
      <c r="A85">
        <v>20260129</v>
      </c>
      <c r="B85" t="s">
        <v>49</v>
      </c>
      <c r="C85" t="s">
        <v>20</v>
      </c>
      <c r="D85" t="s">
        <v>27</v>
      </c>
      <c r="E85">
        <v>7002</v>
      </c>
      <c r="F85">
        <v>11001</v>
      </c>
      <c r="G85">
        <v>36.659999999999997</v>
      </c>
      <c r="H85">
        <v>0.36659999999999998</v>
      </c>
      <c r="I85" t="s">
        <v>45</v>
      </c>
      <c r="J85">
        <f t="shared" si="5"/>
        <v>0.63339999999999996</v>
      </c>
      <c r="K85" t="str">
        <f t="shared" si="6"/>
        <v>60~65</v>
      </c>
      <c r="L85" t="str">
        <f t="shared" si="7"/>
        <v>AWAY</v>
      </c>
      <c r="M85">
        <f t="shared" si="8"/>
        <v>0.40119555999999995</v>
      </c>
      <c r="N85">
        <v>0</v>
      </c>
      <c r="O85">
        <f t="shared" si="9"/>
        <v>1</v>
      </c>
    </row>
    <row r="86" spans="1:15" x14ac:dyDescent="0.6">
      <c r="A86">
        <v>20260130</v>
      </c>
      <c r="B86" t="s">
        <v>49</v>
      </c>
      <c r="C86" t="s">
        <v>21</v>
      </c>
      <c r="D86" t="s">
        <v>23</v>
      </c>
      <c r="E86">
        <v>2002</v>
      </c>
      <c r="F86">
        <v>3001</v>
      </c>
      <c r="G86">
        <v>28.49</v>
      </c>
      <c r="H86">
        <v>0.28489999999999999</v>
      </c>
      <c r="I86" t="s">
        <v>45</v>
      </c>
      <c r="J86">
        <f t="shared" si="5"/>
        <v>0.71510000000000007</v>
      </c>
      <c r="K86" t="str">
        <f t="shared" si="6"/>
        <v>70~100</v>
      </c>
      <c r="L86" t="str">
        <f t="shared" si="7"/>
        <v>AWAY</v>
      </c>
      <c r="M86" t="str">
        <f t="shared" si="8"/>
        <v/>
      </c>
      <c r="N86" t="s">
        <v>50</v>
      </c>
      <c r="O86" t="str">
        <f t="shared" si="9"/>
        <v/>
      </c>
    </row>
    <row r="87" spans="1:15" x14ac:dyDescent="0.6">
      <c r="A87">
        <v>20260131</v>
      </c>
      <c r="B87" t="s">
        <v>51</v>
      </c>
      <c r="C87" t="s">
        <v>16</v>
      </c>
      <c r="D87" t="s">
        <v>22</v>
      </c>
      <c r="E87">
        <v>6002</v>
      </c>
      <c r="F87">
        <v>1001</v>
      </c>
      <c r="G87">
        <v>48.05</v>
      </c>
      <c r="H87">
        <v>0.48053719631581809</v>
      </c>
      <c r="I87" t="s">
        <v>45</v>
      </c>
      <c r="J87">
        <f t="shared" si="5"/>
        <v>0.51946280368418196</v>
      </c>
      <c r="K87" t="str">
        <f t="shared" si="6"/>
        <v>50~55</v>
      </c>
      <c r="L87" t="str">
        <f t="shared" si="7"/>
        <v>AWAY</v>
      </c>
      <c r="M87">
        <f t="shared" si="8"/>
        <v>0.26984160441143096</v>
      </c>
      <c r="N87">
        <v>0</v>
      </c>
      <c r="O87">
        <f t="shared" si="9"/>
        <v>1</v>
      </c>
    </row>
    <row r="88" spans="1:15" x14ac:dyDescent="0.6">
      <c r="A88">
        <v>20260132</v>
      </c>
      <c r="B88" t="s">
        <v>51</v>
      </c>
      <c r="C88" t="s">
        <v>24</v>
      </c>
      <c r="D88" t="s">
        <v>28</v>
      </c>
      <c r="E88">
        <v>12001</v>
      </c>
      <c r="F88">
        <v>5002</v>
      </c>
      <c r="G88">
        <v>31.9</v>
      </c>
      <c r="H88">
        <v>0.31895704786720658</v>
      </c>
      <c r="I88" t="s">
        <v>45</v>
      </c>
      <c r="J88">
        <f t="shared" si="5"/>
        <v>0.68104295213279342</v>
      </c>
      <c r="K88" t="str">
        <f t="shared" si="6"/>
        <v>65~70</v>
      </c>
      <c r="L88" t="str">
        <f t="shared" si="7"/>
        <v>AWAY</v>
      </c>
      <c r="M88">
        <f t="shared" si="8"/>
        <v>0.10173359838416351</v>
      </c>
      <c r="N88">
        <v>1</v>
      </c>
      <c r="O88">
        <f t="shared" si="9"/>
        <v>0</v>
      </c>
    </row>
    <row r="89" spans="1:15" x14ac:dyDescent="0.6">
      <c r="A89">
        <v>20260133</v>
      </c>
      <c r="B89" t="s">
        <v>51</v>
      </c>
      <c r="C89" t="s">
        <v>20</v>
      </c>
      <c r="D89" t="s">
        <v>19</v>
      </c>
      <c r="E89">
        <v>7002</v>
      </c>
      <c r="F89">
        <v>9002</v>
      </c>
      <c r="G89">
        <v>51.69</v>
      </c>
      <c r="H89">
        <v>0.51686137532658116</v>
      </c>
      <c r="I89" t="s">
        <v>45</v>
      </c>
      <c r="J89">
        <f t="shared" si="5"/>
        <v>0.51686137532658116</v>
      </c>
      <c r="K89" t="str">
        <f t="shared" si="6"/>
        <v>50~55</v>
      </c>
      <c r="L89" t="str">
        <f t="shared" si="7"/>
        <v>HOME</v>
      </c>
      <c r="M89">
        <f t="shared" si="8"/>
        <v>0.23342293065132269</v>
      </c>
      <c r="N89">
        <v>1</v>
      </c>
      <c r="O89">
        <f t="shared" si="9"/>
        <v>1</v>
      </c>
    </row>
    <row r="90" spans="1:15" x14ac:dyDescent="0.6">
      <c r="A90">
        <v>20260134</v>
      </c>
      <c r="B90" t="s">
        <v>51</v>
      </c>
      <c r="C90" t="s">
        <v>23</v>
      </c>
      <c r="D90" t="s">
        <v>17</v>
      </c>
      <c r="E90">
        <v>3001</v>
      </c>
      <c r="F90">
        <v>10001</v>
      </c>
      <c r="G90">
        <v>41.82</v>
      </c>
      <c r="H90">
        <v>0.41823284857644288</v>
      </c>
      <c r="I90" t="s">
        <v>45</v>
      </c>
      <c r="J90">
        <f t="shared" si="5"/>
        <v>0.58176715142355717</v>
      </c>
      <c r="K90" t="str">
        <f t="shared" si="6"/>
        <v>55~60</v>
      </c>
      <c r="L90" t="str">
        <f t="shared" si="7"/>
        <v>AWAY</v>
      </c>
      <c r="M90">
        <f t="shared" si="8"/>
        <v>0.17491871562836575</v>
      </c>
      <c r="N90">
        <v>1</v>
      </c>
      <c r="O90">
        <f t="shared" si="9"/>
        <v>0</v>
      </c>
    </row>
    <row r="91" spans="1:15" x14ac:dyDescent="0.6">
      <c r="A91">
        <v>20260135</v>
      </c>
      <c r="B91" t="s">
        <v>51</v>
      </c>
      <c r="C91" t="s">
        <v>27</v>
      </c>
      <c r="D91" t="s">
        <v>21</v>
      </c>
      <c r="E91">
        <v>11001</v>
      </c>
      <c r="F91">
        <v>2002</v>
      </c>
      <c r="G91">
        <v>33.33</v>
      </c>
      <c r="H91">
        <v>0.33327727751723479</v>
      </c>
      <c r="I91" t="s">
        <v>45</v>
      </c>
      <c r="J91">
        <f t="shared" si="5"/>
        <v>0.66672272248276521</v>
      </c>
      <c r="K91" t="str">
        <f t="shared" si="6"/>
        <v>65~70</v>
      </c>
      <c r="L91" t="str">
        <f t="shared" si="7"/>
        <v>AWAY</v>
      </c>
      <c r="M91">
        <f t="shared" si="8"/>
        <v>0.11107374370929994</v>
      </c>
      <c r="N91">
        <v>1</v>
      </c>
      <c r="O91">
        <f t="shared" si="9"/>
        <v>0</v>
      </c>
    </row>
    <row r="92" spans="1:15" x14ac:dyDescent="0.6">
      <c r="A92">
        <v>20260136</v>
      </c>
      <c r="B92" t="s">
        <v>52</v>
      </c>
      <c r="C92" t="s">
        <v>16</v>
      </c>
      <c r="D92" t="s">
        <v>22</v>
      </c>
      <c r="E92">
        <v>6002</v>
      </c>
      <c r="F92">
        <v>1001</v>
      </c>
      <c r="G92">
        <v>55.18</v>
      </c>
      <c r="H92">
        <v>0.55177834190215891</v>
      </c>
      <c r="I92" t="s">
        <v>48</v>
      </c>
      <c r="J92">
        <f t="shared" si="5"/>
        <v>0.55177834190215891</v>
      </c>
      <c r="K92" t="str">
        <f t="shared" si="6"/>
        <v>55~60</v>
      </c>
      <c r="L92" t="str">
        <f t="shared" si="7"/>
        <v>HOME</v>
      </c>
      <c r="M92">
        <f t="shared" si="8"/>
        <v>0.20090265478797795</v>
      </c>
      <c r="N92">
        <v>1</v>
      </c>
      <c r="O92">
        <f t="shared" si="9"/>
        <v>1</v>
      </c>
    </row>
    <row r="93" spans="1:15" x14ac:dyDescent="0.6">
      <c r="A93">
        <v>20260137</v>
      </c>
      <c r="B93" t="s">
        <v>52</v>
      </c>
      <c r="C93" t="s">
        <v>24</v>
      </c>
      <c r="D93" t="s">
        <v>28</v>
      </c>
      <c r="E93">
        <v>12001</v>
      </c>
      <c r="F93">
        <v>5002</v>
      </c>
      <c r="G93">
        <v>63.64</v>
      </c>
      <c r="H93">
        <v>0.63640058961499757</v>
      </c>
      <c r="I93" t="s">
        <v>48</v>
      </c>
      <c r="J93">
        <f t="shared" si="5"/>
        <v>0.63640058961499757</v>
      </c>
      <c r="K93" t="str">
        <f t="shared" si="6"/>
        <v>60~65</v>
      </c>
      <c r="L93" t="str">
        <f t="shared" si="7"/>
        <v>HOME</v>
      </c>
      <c r="M93">
        <f t="shared" si="8"/>
        <v>0.13220453123232143</v>
      </c>
      <c r="N93">
        <v>1</v>
      </c>
      <c r="O93">
        <f t="shared" si="9"/>
        <v>1</v>
      </c>
    </row>
    <row r="94" spans="1:15" x14ac:dyDescent="0.6">
      <c r="A94">
        <v>20260138</v>
      </c>
      <c r="B94" t="s">
        <v>52</v>
      </c>
      <c r="C94" t="s">
        <v>20</v>
      </c>
      <c r="D94" t="s">
        <v>19</v>
      </c>
      <c r="E94">
        <v>7002</v>
      </c>
      <c r="F94">
        <v>9002</v>
      </c>
      <c r="G94">
        <v>58.4</v>
      </c>
      <c r="H94">
        <v>0.58400595437538227</v>
      </c>
      <c r="I94" t="s">
        <v>48</v>
      </c>
      <c r="J94">
        <f t="shared" si="5"/>
        <v>0.58400595437538227</v>
      </c>
      <c r="K94" t="str">
        <f t="shared" si="6"/>
        <v>55~60</v>
      </c>
      <c r="L94" t="str">
        <f t="shared" si="7"/>
        <v>HOME</v>
      </c>
      <c r="M94">
        <f t="shared" si="8"/>
        <v>0.34106295474590109</v>
      </c>
      <c r="N94">
        <v>0</v>
      </c>
      <c r="O94">
        <f t="shared" si="9"/>
        <v>0</v>
      </c>
    </row>
    <row r="95" spans="1:15" x14ac:dyDescent="0.6">
      <c r="A95">
        <v>20260139</v>
      </c>
      <c r="B95" t="s">
        <v>52</v>
      </c>
      <c r="C95" t="s">
        <v>23</v>
      </c>
      <c r="D95" t="s">
        <v>17</v>
      </c>
      <c r="E95">
        <v>3001</v>
      </c>
      <c r="F95">
        <v>10001</v>
      </c>
      <c r="G95">
        <v>44.99</v>
      </c>
      <c r="H95">
        <v>0.44988466053875648</v>
      </c>
      <c r="I95" t="s">
        <v>48</v>
      </c>
      <c r="J95">
        <f t="shared" si="5"/>
        <v>0.55011533946124347</v>
      </c>
      <c r="K95" t="str">
        <f t="shared" si="6"/>
        <v>55~60</v>
      </c>
      <c r="L95" t="str">
        <f t="shared" si="7"/>
        <v>AWAY</v>
      </c>
      <c r="M95">
        <f t="shared" si="8"/>
        <v>0.30262688671055915</v>
      </c>
      <c r="N95">
        <v>0</v>
      </c>
      <c r="O95">
        <f t="shared" si="9"/>
        <v>1</v>
      </c>
    </row>
    <row r="96" spans="1:15" x14ac:dyDescent="0.6">
      <c r="A96">
        <v>20260140</v>
      </c>
      <c r="B96" t="s">
        <v>52</v>
      </c>
      <c r="C96" t="s">
        <v>27</v>
      </c>
      <c r="D96" t="s">
        <v>21</v>
      </c>
      <c r="E96">
        <v>11001</v>
      </c>
      <c r="F96">
        <v>2002</v>
      </c>
      <c r="G96">
        <v>66.16</v>
      </c>
      <c r="H96">
        <v>0.6616164752638154</v>
      </c>
      <c r="I96" t="s">
        <v>48</v>
      </c>
      <c r="J96">
        <f t="shared" si="5"/>
        <v>0.6616164752638154</v>
      </c>
      <c r="K96" t="str">
        <f t="shared" si="6"/>
        <v>65~70</v>
      </c>
      <c r="L96" t="str">
        <f t="shared" si="7"/>
        <v>HOME</v>
      </c>
      <c r="M96">
        <f t="shared" si="8"/>
        <v>0.43773636034051483</v>
      </c>
      <c r="N96">
        <v>0</v>
      </c>
      <c r="O96">
        <f t="shared" si="9"/>
        <v>0</v>
      </c>
    </row>
    <row r="97" spans="1:15" x14ac:dyDescent="0.6">
      <c r="A97">
        <v>20260141</v>
      </c>
      <c r="B97" t="s">
        <v>53</v>
      </c>
      <c r="C97" t="s">
        <v>16</v>
      </c>
      <c r="D97" t="s">
        <v>22</v>
      </c>
      <c r="E97">
        <v>6002</v>
      </c>
      <c r="F97">
        <v>1001</v>
      </c>
      <c r="G97">
        <v>55.79</v>
      </c>
      <c r="H97">
        <v>0.55788535767635072</v>
      </c>
      <c r="I97" t="s">
        <v>48</v>
      </c>
      <c r="J97">
        <f t="shared" si="5"/>
        <v>0.55788535767635072</v>
      </c>
      <c r="K97" t="str">
        <f t="shared" si="6"/>
        <v>55~60</v>
      </c>
      <c r="L97" t="str">
        <f t="shared" si="7"/>
        <v>HOME</v>
      </c>
      <c r="M97">
        <f t="shared" si="8"/>
        <v>0.19546535695696834</v>
      </c>
      <c r="N97">
        <v>1</v>
      </c>
      <c r="O97">
        <f t="shared" si="9"/>
        <v>1</v>
      </c>
    </row>
    <row r="98" spans="1:15" x14ac:dyDescent="0.6">
      <c r="A98">
        <v>20260142</v>
      </c>
      <c r="B98" t="s">
        <v>53</v>
      </c>
      <c r="C98" t="s">
        <v>24</v>
      </c>
      <c r="D98" t="s">
        <v>28</v>
      </c>
      <c r="E98">
        <v>12001</v>
      </c>
      <c r="F98">
        <v>5002</v>
      </c>
      <c r="G98">
        <v>71.19</v>
      </c>
      <c r="H98">
        <v>0.71191354307255306</v>
      </c>
      <c r="I98" t="s">
        <v>48</v>
      </c>
      <c r="J98">
        <f t="shared" si="5"/>
        <v>0.71191354307255306</v>
      </c>
      <c r="K98" t="str">
        <f t="shared" si="6"/>
        <v>70~100</v>
      </c>
      <c r="L98" t="str">
        <f t="shared" si="7"/>
        <v>HOME</v>
      </c>
      <c r="M98">
        <f t="shared" si="8"/>
        <v>0.50682089281011589</v>
      </c>
      <c r="N98">
        <v>0</v>
      </c>
      <c r="O98">
        <f t="shared" si="9"/>
        <v>0</v>
      </c>
    </row>
    <row r="99" spans="1:15" x14ac:dyDescent="0.6">
      <c r="A99">
        <v>20260143</v>
      </c>
      <c r="B99" t="s">
        <v>53</v>
      </c>
      <c r="C99" t="s">
        <v>20</v>
      </c>
      <c r="D99" t="s">
        <v>19</v>
      </c>
      <c r="E99">
        <v>7002</v>
      </c>
      <c r="F99">
        <v>9002</v>
      </c>
      <c r="G99">
        <v>58.16</v>
      </c>
      <c r="H99">
        <v>0.58160695413560792</v>
      </c>
      <c r="I99" t="s">
        <v>48</v>
      </c>
      <c r="J99">
        <f t="shared" si="5"/>
        <v>0.58160695413560792</v>
      </c>
      <c r="K99" t="str">
        <f t="shared" si="6"/>
        <v>55~60</v>
      </c>
      <c r="L99" t="str">
        <f t="shared" si="7"/>
        <v>HOME</v>
      </c>
      <c r="M99">
        <f t="shared" si="8"/>
        <v>0.33826664909889914</v>
      </c>
      <c r="N99">
        <v>0</v>
      </c>
      <c r="O99">
        <f t="shared" si="9"/>
        <v>0</v>
      </c>
    </row>
    <row r="100" spans="1:15" x14ac:dyDescent="0.6">
      <c r="A100">
        <v>20260144</v>
      </c>
      <c r="B100" t="s">
        <v>53</v>
      </c>
      <c r="C100" t="s">
        <v>23</v>
      </c>
      <c r="D100" t="s">
        <v>17</v>
      </c>
      <c r="E100">
        <v>3001</v>
      </c>
      <c r="F100">
        <v>10001</v>
      </c>
      <c r="G100">
        <v>52.46</v>
      </c>
      <c r="H100">
        <v>0.52463371250197677</v>
      </c>
      <c r="I100" t="s">
        <v>48</v>
      </c>
      <c r="J100">
        <f t="shared" si="5"/>
        <v>0.52463371250197677</v>
      </c>
      <c r="K100" t="str">
        <f t="shared" si="6"/>
        <v>50~55</v>
      </c>
      <c r="L100" t="str">
        <f t="shared" si="7"/>
        <v>HOME</v>
      </c>
      <c r="M100">
        <f t="shared" si="8"/>
        <v>0.22597310728965328</v>
      </c>
      <c r="N100">
        <v>1</v>
      </c>
      <c r="O100">
        <f t="shared" si="9"/>
        <v>1</v>
      </c>
    </row>
    <row r="101" spans="1:15" x14ac:dyDescent="0.6">
      <c r="A101">
        <v>20260145</v>
      </c>
      <c r="B101" t="s">
        <v>53</v>
      </c>
      <c r="C101" t="s">
        <v>27</v>
      </c>
      <c r="D101" t="s">
        <v>21</v>
      </c>
      <c r="E101">
        <v>11001</v>
      </c>
      <c r="F101">
        <v>2002</v>
      </c>
      <c r="G101">
        <v>32.03</v>
      </c>
      <c r="H101">
        <v>0.3202911251751967</v>
      </c>
      <c r="I101" t="s">
        <v>48</v>
      </c>
      <c r="J101">
        <f t="shared" si="5"/>
        <v>0.67970887482480324</v>
      </c>
      <c r="K101" t="str">
        <f t="shared" si="6"/>
        <v>65~70</v>
      </c>
      <c r="L101" t="str">
        <f t="shared" si="7"/>
        <v>AWAY</v>
      </c>
      <c r="M101">
        <f t="shared" si="8"/>
        <v>0.10258640486599356</v>
      </c>
      <c r="N101">
        <v>1</v>
      </c>
      <c r="O101">
        <f t="shared" si="9"/>
        <v>0</v>
      </c>
    </row>
    <row r="102" spans="1:15" x14ac:dyDescent="0.6">
      <c r="A102">
        <v>20260146</v>
      </c>
      <c r="B102" t="s">
        <v>54</v>
      </c>
      <c r="C102" t="s">
        <v>28</v>
      </c>
      <c r="D102" t="s">
        <v>27</v>
      </c>
      <c r="E102">
        <v>5002</v>
      </c>
      <c r="F102">
        <v>11001</v>
      </c>
      <c r="G102">
        <v>50.46</v>
      </c>
      <c r="H102">
        <v>0.50463092713137458</v>
      </c>
      <c r="I102" t="s">
        <v>48</v>
      </c>
      <c r="J102">
        <f t="shared" si="5"/>
        <v>0.50463092713137458</v>
      </c>
      <c r="K102" t="str">
        <f t="shared" si="6"/>
        <v>50~55</v>
      </c>
      <c r="L102" t="str">
        <f t="shared" si="7"/>
        <v>HOME</v>
      </c>
      <c r="M102">
        <f t="shared" si="8"/>
        <v>0.2453905183547215</v>
      </c>
      <c r="N102">
        <v>1</v>
      </c>
      <c r="O102">
        <f t="shared" si="9"/>
        <v>1</v>
      </c>
    </row>
    <row r="103" spans="1:15" x14ac:dyDescent="0.6">
      <c r="A103">
        <v>20260147</v>
      </c>
      <c r="B103" t="s">
        <v>54</v>
      </c>
      <c r="C103" t="s">
        <v>17</v>
      </c>
      <c r="D103" t="s">
        <v>16</v>
      </c>
      <c r="E103">
        <v>10001</v>
      </c>
      <c r="F103">
        <v>6002</v>
      </c>
      <c r="G103">
        <v>41.32</v>
      </c>
      <c r="H103">
        <v>0.41316338256861718</v>
      </c>
      <c r="I103" t="s">
        <v>48</v>
      </c>
      <c r="J103">
        <f t="shared" si="5"/>
        <v>0.58683661743138282</v>
      </c>
      <c r="K103" t="str">
        <f t="shared" si="6"/>
        <v>55~60</v>
      </c>
      <c r="L103" t="str">
        <f t="shared" si="7"/>
        <v>AWAY</v>
      </c>
      <c r="M103">
        <f t="shared" si="8"/>
        <v>0.34437721555830714</v>
      </c>
      <c r="N103">
        <v>0</v>
      </c>
      <c r="O103">
        <f t="shared" si="9"/>
        <v>1</v>
      </c>
    </row>
    <row r="104" spans="1:15" x14ac:dyDescent="0.6">
      <c r="A104">
        <v>20260148</v>
      </c>
      <c r="B104" t="s">
        <v>54</v>
      </c>
      <c r="C104" t="s">
        <v>19</v>
      </c>
      <c r="D104" t="s">
        <v>23</v>
      </c>
      <c r="E104">
        <v>9002</v>
      </c>
      <c r="F104">
        <v>3001</v>
      </c>
      <c r="G104">
        <v>38.950000000000003</v>
      </c>
      <c r="H104">
        <v>0.3895130414945705</v>
      </c>
      <c r="I104" t="s">
        <v>48</v>
      </c>
      <c r="J104">
        <f t="shared" si="5"/>
        <v>0.61048695850542956</v>
      </c>
      <c r="K104" t="str">
        <f t="shared" si="6"/>
        <v>60~65</v>
      </c>
      <c r="L104" t="str">
        <f t="shared" si="7"/>
        <v>AWAY</v>
      </c>
      <c r="M104">
        <f t="shared" si="8"/>
        <v>0.37269432650521006</v>
      </c>
      <c r="N104">
        <v>0</v>
      </c>
      <c r="O104">
        <f t="shared" si="9"/>
        <v>1</v>
      </c>
    </row>
    <row r="105" spans="1:15" x14ac:dyDescent="0.6">
      <c r="A105">
        <v>20260149</v>
      </c>
      <c r="B105" t="s">
        <v>54</v>
      </c>
      <c r="C105" t="s">
        <v>22</v>
      </c>
      <c r="D105" t="s">
        <v>20</v>
      </c>
      <c r="E105">
        <v>1001</v>
      </c>
      <c r="F105">
        <v>7002</v>
      </c>
      <c r="G105">
        <v>57.52</v>
      </c>
      <c r="H105">
        <v>0.57521470195640556</v>
      </c>
      <c r="I105" t="s">
        <v>48</v>
      </c>
      <c r="J105">
        <f t="shared" si="5"/>
        <v>0.57521470195640556</v>
      </c>
      <c r="K105" t="str">
        <f t="shared" si="6"/>
        <v>55~60</v>
      </c>
      <c r="L105" t="str">
        <f t="shared" si="7"/>
        <v>HOME</v>
      </c>
      <c r="M105">
        <f t="shared" si="8"/>
        <v>0.18044254943398536</v>
      </c>
      <c r="N105">
        <v>1</v>
      </c>
      <c r="O105">
        <f t="shared" si="9"/>
        <v>1</v>
      </c>
    </row>
    <row r="106" spans="1:15" x14ac:dyDescent="0.6">
      <c r="A106">
        <v>20260150</v>
      </c>
      <c r="B106" t="s">
        <v>54</v>
      </c>
      <c r="C106" t="s">
        <v>21</v>
      </c>
      <c r="D106" t="s">
        <v>24</v>
      </c>
      <c r="E106">
        <v>2002</v>
      </c>
      <c r="F106">
        <v>12001</v>
      </c>
      <c r="G106">
        <v>50.26</v>
      </c>
      <c r="H106">
        <v>0.50256032481434909</v>
      </c>
      <c r="I106" t="s">
        <v>48</v>
      </c>
      <c r="J106">
        <f t="shared" si="5"/>
        <v>0.50256032481434909</v>
      </c>
      <c r="K106" t="str">
        <f t="shared" si="6"/>
        <v>50~55</v>
      </c>
      <c r="L106" t="str">
        <f t="shared" si="7"/>
        <v>HOME</v>
      </c>
      <c r="M106">
        <f t="shared" si="8"/>
        <v>0.25256688007750405</v>
      </c>
      <c r="N106">
        <v>0</v>
      </c>
      <c r="O106">
        <f t="shared" si="9"/>
        <v>0</v>
      </c>
    </row>
    <row r="107" spans="1:15" x14ac:dyDescent="0.6">
      <c r="A107">
        <v>20260153</v>
      </c>
      <c r="B107" t="s">
        <v>55</v>
      </c>
      <c r="C107" t="s">
        <v>19</v>
      </c>
      <c r="D107" t="s">
        <v>23</v>
      </c>
      <c r="E107">
        <v>9002</v>
      </c>
      <c r="F107">
        <v>3001</v>
      </c>
      <c r="G107">
        <v>35.93</v>
      </c>
      <c r="H107">
        <v>0.35926329525738299</v>
      </c>
      <c r="I107" t="s">
        <v>48</v>
      </c>
      <c r="J107">
        <f t="shared" si="5"/>
        <v>0.64073670474261701</v>
      </c>
      <c r="K107" t="str">
        <f t="shared" si="6"/>
        <v>60~65</v>
      </c>
      <c r="L107" t="str">
        <f t="shared" si="7"/>
        <v>AWAY</v>
      </c>
      <c r="M107">
        <f t="shared" si="8"/>
        <v>0.41054352480442757</v>
      </c>
      <c r="N107">
        <v>0</v>
      </c>
      <c r="O107">
        <f t="shared" si="9"/>
        <v>1</v>
      </c>
    </row>
    <row r="108" spans="1:15" x14ac:dyDescent="0.6">
      <c r="A108">
        <v>20260151</v>
      </c>
      <c r="B108" t="s">
        <v>55</v>
      </c>
      <c r="C108" t="s">
        <v>28</v>
      </c>
      <c r="D108" t="s">
        <v>27</v>
      </c>
      <c r="E108">
        <v>5002</v>
      </c>
      <c r="F108">
        <v>11001</v>
      </c>
      <c r="G108">
        <v>69.38</v>
      </c>
      <c r="H108">
        <v>0.69381605460492934</v>
      </c>
      <c r="I108" t="s">
        <v>48</v>
      </c>
      <c r="J108">
        <f t="shared" si="5"/>
        <v>0.69381605460492934</v>
      </c>
      <c r="K108" t="str">
        <f t="shared" si="6"/>
        <v>65~70</v>
      </c>
      <c r="L108" t="str">
        <f t="shared" si="7"/>
        <v>HOME</v>
      </c>
      <c r="M108">
        <f t="shared" si="8"/>
        <v>9.3748608417691615E-2</v>
      </c>
      <c r="N108">
        <v>1</v>
      </c>
      <c r="O108">
        <f t="shared" si="9"/>
        <v>1</v>
      </c>
    </row>
    <row r="109" spans="1:15" x14ac:dyDescent="0.6">
      <c r="A109">
        <v>20260152</v>
      </c>
      <c r="B109" t="s">
        <v>55</v>
      </c>
      <c r="C109" t="s">
        <v>17</v>
      </c>
      <c r="D109" t="s">
        <v>16</v>
      </c>
      <c r="E109">
        <v>10001</v>
      </c>
      <c r="F109">
        <v>6002</v>
      </c>
      <c r="G109">
        <v>51.51</v>
      </c>
      <c r="H109">
        <v>0.51505399857744283</v>
      </c>
      <c r="I109" t="s">
        <v>48</v>
      </c>
      <c r="J109">
        <f t="shared" si="5"/>
        <v>0.51505399857744283</v>
      </c>
      <c r="K109" t="str">
        <f t="shared" si="6"/>
        <v>50~55</v>
      </c>
      <c r="L109" t="str">
        <f t="shared" si="7"/>
        <v>HOME</v>
      </c>
      <c r="M109">
        <f t="shared" si="8"/>
        <v>0.23517262429572683</v>
      </c>
      <c r="N109">
        <v>1</v>
      </c>
      <c r="O109">
        <f t="shared" si="9"/>
        <v>1</v>
      </c>
    </row>
    <row r="110" spans="1:15" x14ac:dyDescent="0.6">
      <c r="A110">
        <v>20260154</v>
      </c>
      <c r="B110" t="s">
        <v>55</v>
      </c>
      <c r="C110" t="s">
        <v>22</v>
      </c>
      <c r="D110" t="s">
        <v>20</v>
      </c>
      <c r="E110">
        <v>1001</v>
      </c>
      <c r="F110">
        <v>7002</v>
      </c>
      <c r="G110">
        <v>63.57</v>
      </c>
      <c r="H110">
        <v>0.63567515682099429</v>
      </c>
      <c r="I110" t="s">
        <v>48</v>
      </c>
      <c r="J110">
        <f t="shared" si="5"/>
        <v>0.63567515682099429</v>
      </c>
      <c r="K110" t="str">
        <f t="shared" si="6"/>
        <v>60~65</v>
      </c>
      <c r="L110" t="str">
        <f t="shared" si="7"/>
        <v>HOME</v>
      </c>
      <c r="M110">
        <f t="shared" si="8"/>
        <v>0.4040829049993957</v>
      </c>
      <c r="N110">
        <v>0</v>
      </c>
      <c r="O110">
        <f t="shared" si="9"/>
        <v>0</v>
      </c>
    </row>
    <row r="111" spans="1:15" x14ac:dyDescent="0.6">
      <c r="A111">
        <v>20260155</v>
      </c>
      <c r="B111" t="s">
        <v>55</v>
      </c>
      <c r="C111" t="s">
        <v>21</v>
      </c>
      <c r="D111" t="s">
        <v>24</v>
      </c>
      <c r="E111">
        <v>2002</v>
      </c>
      <c r="F111">
        <v>12001</v>
      </c>
      <c r="G111">
        <v>22.17</v>
      </c>
      <c r="H111">
        <v>0.22170371590049451</v>
      </c>
      <c r="I111" t="s">
        <v>48</v>
      </c>
      <c r="J111">
        <f t="shared" si="5"/>
        <v>0.77829628409950546</v>
      </c>
      <c r="K111" t="str">
        <f t="shared" si="6"/>
        <v>70~100</v>
      </c>
      <c r="L111" t="str">
        <f t="shared" si="7"/>
        <v>AWAY</v>
      </c>
      <c r="M111">
        <f t="shared" si="8"/>
        <v>4.9152537644087196E-2</v>
      </c>
      <c r="N111">
        <v>1</v>
      </c>
      <c r="O111">
        <f t="shared" si="9"/>
        <v>0</v>
      </c>
    </row>
    <row r="112" spans="1:15" x14ac:dyDescent="0.6">
      <c r="A112">
        <v>20260156</v>
      </c>
      <c r="B112" t="s">
        <v>56</v>
      </c>
      <c r="C112" t="s">
        <v>28</v>
      </c>
      <c r="D112" t="s">
        <v>27</v>
      </c>
      <c r="E112">
        <v>5002</v>
      </c>
      <c r="F112">
        <v>11001</v>
      </c>
      <c r="G112">
        <v>59.68</v>
      </c>
      <c r="H112">
        <v>0.59684347012091665</v>
      </c>
      <c r="I112" t="s">
        <v>45</v>
      </c>
      <c r="J112">
        <f t="shared" si="5"/>
        <v>0.59684347012091665</v>
      </c>
      <c r="K112" t="str">
        <f t="shared" si="6"/>
        <v>55~60</v>
      </c>
      <c r="L112" t="str">
        <f t="shared" si="7"/>
        <v>HOME</v>
      </c>
      <c r="M112">
        <f t="shared" si="8"/>
        <v>0.35622212782597751</v>
      </c>
      <c r="N112">
        <v>0</v>
      </c>
      <c r="O112">
        <f t="shared" si="9"/>
        <v>0</v>
      </c>
    </row>
    <row r="113" spans="1:15" x14ac:dyDescent="0.6">
      <c r="A113">
        <v>20260157</v>
      </c>
      <c r="B113" t="s">
        <v>56</v>
      </c>
      <c r="C113" t="s">
        <v>17</v>
      </c>
      <c r="D113" t="s">
        <v>16</v>
      </c>
      <c r="E113">
        <v>10001</v>
      </c>
      <c r="F113">
        <v>6002</v>
      </c>
      <c r="G113">
        <v>33.700000000000003</v>
      </c>
      <c r="H113">
        <v>0.3369959680937486</v>
      </c>
      <c r="I113" t="s">
        <v>45</v>
      </c>
      <c r="J113">
        <f t="shared" si="5"/>
        <v>0.66300403190625135</v>
      </c>
      <c r="K113" t="str">
        <f t="shared" si="6"/>
        <v>65~70</v>
      </c>
      <c r="L113" t="str">
        <f t="shared" si="7"/>
        <v>AWAY</v>
      </c>
      <c r="M113">
        <f t="shared" si="8"/>
        <v>0.43957434632394554</v>
      </c>
      <c r="N113">
        <v>0</v>
      </c>
      <c r="O113">
        <f t="shared" si="9"/>
        <v>1</v>
      </c>
    </row>
    <row r="114" spans="1:15" x14ac:dyDescent="0.6">
      <c r="A114">
        <v>20260158</v>
      </c>
      <c r="B114" t="s">
        <v>56</v>
      </c>
      <c r="C114" t="s">
        <v>19</v>
      </c>
      <c r="D114" t="s">
        <v>23</v>
      </c>
      <c r="E114">
        <v>9002</v>
      </c>
      <c r="F114">
        <v>3001</v>
      </c>
      <c r="G114">
        <v>52.53</v>
      </c>
      <c r="H114">
        <v>0.52527052695926024</v>
      </c>
      <c r="I114" t="s">
        <v>45</v>
      </c>
      <c r="J114">
        <f t="shared" si="5"/>
        <v>0.52527052695926024</v>
      </c>
      <c r="K114" t="str">
        <f t="shared" si="6"/>
        <v>50~55</v>
      </c>
      <c r="L114" t="str">
        <f t="shared" si="7"/>
        <v>HOME</v>
      </c>
      <c r="M114">
        <f t="shared" si="8"/>
        <v>0.27590912649205895</v>
      </c>
      <c r="N114">
        <v>0</v>
      </c>
      <c r="O114">
        <f t="shared" si="9"/>
        <v>0</v>
      </c>
    </row>
    <row r="115" spans="1:15" x14ac:dyDescent="0.6">
      <c r="A115">
        <v>20260159</v>
      </c>
      <c r="B115" t="s">
        <v>56</v>
      </c>
      <c r="C115" t="s">
        <v>22</v>
      </c>
      <c r="D115" t="s">
        <v>20</v>
      </c>
      <c r="E115">
        <v>1001</v>
      </c>
      <c r="F115">
        <v>7002</v>
      </c>
      <c r="G115">
        <v>67.58</v>
      </c>
      <c r="H115">
        <v>0.67583237925122353</v>
      </c>
      <c r="I115" t="s">
        <v>45</v>
      </c>
      <c r="J115">
        <f t="shared" si="5"/>
        <v>0.67583237925122353</v>
      </c>
      <c r="K115" t="str">
        <f t="shared" si="6"/>
        <v>65~70</v>
      </c>
      <c r="L115" t="str">
        <f t="shared" si="7"/>
        <v>HOME</v>
      </c>
      <c r="M115">
        <f t="shared" si="8"/>
        <v>0.10508464634192258</v>
      </c>
      <c r="N115">
        <v>1</v>
      </c>
      <c r="O115">
        <f t="shared" si="9"/>
        <v>1</v>
      </c>
    </row>
    <row r="116" spans="1:15" x14ac:dyDescent="0.6">
      <c r="A116">
        <v>20260160</v>
      </c>
      <c r="B116" t="s">
        <v>56</v>
      </c>
      <c r="C116" t="s">
        <v>21</v>
      </c>
      <c r="D116" t="s">
        <v>24</v>
      </c>
      <c r="E116">
        <v>2002</v>
      </c>
      <c r="F116">
        <v>12001</v>
      </c>
      <c r="G116">
        <v>60.45</v>
      </c>
      <c r="H116">
        <v>0.60446466868121451</v>
      </c>
      <c r="I116" t="s">
        <v>45</v>
      </c>
      <c r="J116">
        <f t="shared" si="5"/>
        <v>0.60446466868121451</v>
      </c>
      <c r="K116" t="str">
        <f t="shared" si="6"/>
        <v>60~65</v>
      </c>
      <c r="L116" t="str">
        <f t="shared" si="7"/>
        <v>HOME</v>
      </c>
      <c r="M116">
        <f t="shared" si="8"/>
        <v>0.36537753568389042</v>
      </c>
      <c r="N116">
        <v>0</v>
      </c>
      <c r="O116">
        <f t="shared" si="9"/>
        <v>0</v>
      </c>
    </row>
    <row r="117" spans="1:15" x14ac:dyDescent="0.6">
      <c r="A117">
        <v>20260161</v>
      </c>
      <c r="B117" t="s">
        <v>57</v>
      </c>
      <c r="C117" t="s">
        <v>28</v>
      </c>
      <c r="D117" t="s">
        <v>16</v>
      </c>
      <c r="E117">
        <v>5002</v>
      </c>
      <c r="F117">
        <v>6002</v>
      </c>
      <c r="G117">
        <v>55.57</v>
      </c>
      <c r="H117">
        <v>0.55567707281989753</v>
      </c>
      <c r="I117" t="s">
        <v>48</v>
      </c>
      <c r="J117">
        <f t="shared" si="5"/>
        <v>0.55567707281989753</v>
      </c>
      <c r="K117" t="str">
        <f t="shared" si="6"/>
        <v>55~60</v>
      </c>
      <c r="L117" t="str">
        <f t="shared" si="7"/>
        <v>HOME</v>
      </c>
      <c r="M117">
        <f t="shared" si="8"/>
        <v>0.19742286361789463</v>
      </c>
      <c r="N117">
        <v>1</v>
      </c>
      <c r="O117">
        <f t="shared" si="9"/>
        <v>1</v>
      </c>
    </row>
    <row r="118" spans="1:15" x14ac:dyDescent="0.6">
      <c r="A118">
        <v>20260162</v>
      </c>
      <c r="B118" t="s">
        <v>57</v>
      </c>
      <c r="C118" t="s">
        <v>19</v>
      </c>
      <c r="D118" t="s">
        <v>27</v>
      </c>
      <c r="E118">
        <v>9002</v>
      </c>
      <c r="F118">
        <v>11001</v>
      </c>
      <c r="G118">
        <v>84.28</v>
      </c>
      <c r="H118">
        <v>0.84279211685663924</v>
      </c>
      <c r="I118" t="s">
        <v>48</v>
      </c>
      <c r="J118">
        <f t="shared" si="5"/>
        <v>0.84279211685663924</v>
      </c>
      <c r="K118" t="str">
        <f t="shared" si="6"/>
        <v>70~100</v>
      </c>
      <c r="L118" t="str">
        <f t="shared" si="7"/>
        <v>HOME</v>
      </c>
      <c r="M118" t="str">
        <f t="shared" si="8"/>
        <v/>
      </c>
      <c r="N118" t="s">
        <v>50</v>
      </c>
      <c r="O118" t="str">
        <f t="shared" si="9"/>
        <v/>
      </c>
    </row>
    <row r="119" spans="1:15" x14ac:dyDescent="0.6">
      <c r="A119">
        <v>20260163</v>
      </c>
      <c r="B119" t="s">
        <v>57</v>
      </c>
      <c r="C119" t="s">
        <v>24</v>
      </c>
      <c r="D119" t="s">
        <v>23</v>
      </c>
      <c r="E119">
        <v>12001</v>
      </c>
      <c r="F119">
        <v>3001</v>
      </c>
      <c r="G119">
        <v>49.71</v>
      </c>
      <c r="H119">
        <v>0.49707154354092342</v>
      </c>
      <c r="I119" t="s">
        <v>48</v>
      </c>
      <c r="J119">
        <f t="shared" si="5"/>
        <v>0.50292845645907658</v>
      </c>
      <c r="K119" t="str">
        <f t="shared" si="6"/>
        <v>50~55</v>
      </c>
      <c r="L119" t="str">
        <f t="shared" si="7"/>
        <v>AWAY</v>
      </c>
      <c r="M119">
        <f t="shared" si="8"/>
        <v>0.24708011939815613</v>
      </c>
      <c r="N119">
        <v>1</v>
      </c>
      <c r="O119">
        <f t="shared" si="9"/>
        <v>0</v>
      </c>
    </row>
    <row r="120" spans="1:15" x14ac:dyDescent="0.6">
      <c r="A120">
        <v>20260164</v>
      </c>
      <c r="B120" t="s">
        <v>57</v>
      </c>
      <c r="C120" t="s">
        <v>22</v>
      </c>
      <c r="D120" t="s">
        <v>17</v>
      </c>
      <c r="E120">
        <v>1001</v>
      </c>
      <c r="F120">
        <v>10001</v>
      </c>
      <c r="G120">
        <v>44.89</v>
      </c>
      <c r="H120">
        <v>0.44887498522118152</v>
      </c>
      <c r="I120" t="s">
        <v>48</v>
      </c>
      <c r="J120">
        <f t="shared" si="5"/>
        <v>0.55112501477881848</v>
      </c>
      <c r="K120" t="str">
        <f t="shared" si="6"/>
        <v>55~60</v>
      </c>
      <c r="L120" t="str">
        <f t="shared" si="7"/>
        <v>AWAY</v>
      </c>
      <c r="M120">
        <f t="shared" si="8"/>
        <v>0.20148875235731592</v>
      </c>
      <c r="N120">
        <v>1</v>
      </c>
      <c r="O120">
        <f t="shared" si="9"/>
        <v>0</v>
      </c>
    </row>
    <row r="121" spans="1:15" x14ac:dyDescent="0.6">
      <c r="A121">
        <v>20260165</v>
      </c>
      <c r="B121" t="s">
        <v>57</v>
      </c>
      <c r="C121" t="s">
        <v>21</v>
      </c>
      <c r="D121" t="s">
        <v>20</v>
      </c>
      <c r="E121">
        <v>2002</v>
      </c>
      <c r="F121">
        <v>7002</v>
      </c>
      <c r="G121">
        <v>49.57</v>
      </c>
      <c r="H121">
        <v>0.49568704322347401</v>
      </c>
      <c r="I121" t="s">
        <v>48</v>
      </c>
      <c r="J121">
        <f t="shared" si="5"/>
        <v>0.50431295677652599</v>
      </c>
      <c r="K121" t="str">
        <f t="shared" si="6"/>
        <v>50~55</v>
      </c>
      <c r="L121" t="str">
        <f t="shared" si="7"/>
        <v>AWAY</v>
      </c>
      <c r="M121">
        <f t="shared" si="8"/>
        <v>0.2457056448196302</v>
      </c>
      <c r="N121">
        <v>1</v>
      </c>
      <c r="O121">
        <f t="shared" si="9"/>
        <v>0</v>
      </c>
    </row>
    <row r="122" spans="1:15" x14ac:dyDescent="0.6">
      <c r="A122">
        <v>20260166</v>
      </c>
      <c r="B122" t="s">
        <v>58</v>
      </c>
      <c r="C122" t="s">
        <v>28</v>
      </c>
      <c r="D122" t="s">
        <v>16</v>
      </c>
      <c r="E122">
        <v>5002</v>
      </c>
      <c r="F122">
        <v>6002</v>
      </c>
      <c r="G122">
        <v>35.159999999999997</v>
      </c>
      <c r="H122">
        <v>0.3515808439856245</v>
      </c>
      <c r="I122" t="s">
        <v>45</v>
      </c>
      <c r="J122">
        <f t="shared" si="5"/>
        <v>0.6484191560143755</v>
      </c>
      <c r="K122" t="str">
        <f t="shared" si="6"/>
        <v>60~65</v>
      </c>
      <c r="L122" t="str">
        <f t="shared" si="7"/>
        <v>AWAY</v>
      </c>
      <c r="M122">
        <f t="shared" si="8"/>
        <v>0.12360908985764403</v>
      </c>
      <c r="N122">
        <v>1</v>
      </c>
      <c r="O122">
        <f t="shared" si="9"/>
        <v>0</v>
      </c>
    </row>
    <row r="123" spans="1:15" x14ac:dyDescent="0.6">
      <c r="A123">
        <v>20260167</v>
      </c>
      <c r="B123" t="s">
        <v>58</v>
      </c>
      <c r="C123" t="s">
        <v>19</v>
      </c>
      <c r="D123" t="s">
        <v>27</v>
      </c>
      <c r="E123">
        <v>9002</v>
      </c>
      <c r="F123">
        <v>11001</v>
      </c>
      <c r="G123">
        <v>42.66</v>
      </c>
      <c r="H123">
        <v>0.42664648567035862</v>
      </c>
      <c r="I123" t="s">
        <v>45</v>
      </c>
      <c r="J123">
        <f t="shared" si="5"/>
        <v>0.57335351432964132</v>
      </c>
      <c r="K123" t="str">
        <f t="shared" si="6"/>
        <v>55~60</v>
      </c>
      <c r="L123" t="str">
        <f t="shared" si="7"/>
        <v>AWAY</v>
      </c>
      <c r="M123">
        <f t="shared" si="8"/>
        <v>0.18202722373486757</v>
      </c>
      <c r="N123">
        <v>1</v>
      </c>
      <c r="O123">
        <f t="shared" si="9"/>
        <v>0</v>
      </c>
    </row>
    <row r="124" spans="1:15" x14ac:dyDescent="0.6">
      <c r="A124">
        <v>20260168</v>
      </c>
      <c r="B124" t="s">
        <v>58</v>
      </c>
      <c r="C124" t="s">
        <v>24</v>
      </c>
      <c r="D124" t="s">
        <v>23</v>
      </c>
      <c r="E124">
        <v>12001</v>
      </c>
      <c r="F124">
        <v>3001</v>
      </c>
      <c r="G124">
        <v>46.81</v>
      </c>
      <c r="H124">
        <v>0.46809450585983581</v>
      </c>
      <c r="I124" t="s">
        <v>45</v>
      </c>
      <c r="J124">
        <f t="shared" si="5"/>
        <v>0.53190549414016419</v>
      </c>
      <c r="K124" t="str">
        <f t="shared" si="6"/>
        <v>50~55</v>
      </c>
      <c r="L124" t="str">
        <f t="shared" si="7"/>
        <v>AWAY</v>
      </c>
      <c r="M124">
        <f t="shared" si="8"/>
        <v>0.28292345469649227</v>
      </c>
      <c r="N124">
        <v>0</v>
      </c>
      <c r="O124">
        <f t="shared" si="9"/>
        <v>1</v>
      </c>
    </row>
    <row r="125" spans="1:15" x14ac:dyDescent="0.6">
      <c r="A125">
        <v>20260169</v>
      </c>
      <c r="B125" t="s">
        <v>58</v>
      </c>
      <c r="C125" t="s">
        <v>22</v>
      </c>
      <c r="D125" t="s">
        <v>17</v>
      </c>
      <c r="E125">
        <v>1001</v>
      </c>
      <c r="F125">
        <v>10001</v>
      </c>
      <c r="G125">
        <v>69.25</v>
      </c>
      <c r="H125">
        <v>0.69253575020013602</v>
      </c>
      <c r="I125" t="s">
        <v>45</v>
      </c>
      <c r="J125">
        <f t="shared" si="5"/>
        <v>0.69253575020013602</v>
      </c>
      <c r="K125" t="str">
        <f t="shared" si="6"/>
        <v>65~70</v>
      </c>
      <c r="L125" t="str">
        <f t="shared" si="7"/>
        <v>HOME</v>
      </c>
      <c r="M125">
        <f t="shared" si="8"/>
        <v>9.4534264904993157E-2</v>
      </c>
      <c r="N125">
        <v>1</v>
      </c>
      <c r="O125">
        <f t="shared" si="9"/>
        <v>1</v>
      </c>
    </row>
    <row r="126" spans="1:15" x14ac:dyDescent="0.6">
      <c r="A126">
        <v>20260170</v>
      </c>
      <c r="B126" t="s">
        <v>58</v>
      </c>
      <c r="C126" t="s">
        <v>21</v>
      </c>
      <c r="D126" t="s">
        <v>20</v>
      </c>
      <c r="E126">
        <v>2002</v>
      </c>
      <c r="F126">
        <v>7002</v>
      </c>
      <c r="G126">
        <v>62.97</v>
      </c>
      <c r="H126">
        <v>0.62966316006316803</v>
      </c>
      <c r="I126" t="s">
        <v>45</v>
      </c>
      <c r="J126">
        <f t="shared" si="5"/>
        <v>0.62966316006316803</v>
      </c>
      <c r="K126" t="str">
        <f t="shared" si="6"/>
        <v>60~65</v>
      </c>
      <c r="L126" t="str">
        <f t="shared" si="7"/>
        <v>HOME</v>
      </c>
      <c r="M126">
        <f t="shared" si="8"/>
        <v>0.39647569514073477</v>
      </c>
      <c r="N126">
        <v>0</v>
      </c>
      <c r="O126">
        <f t="shared" si="9"/>
        <v>0</v>
      </c>
    </row>
    <row r="127" spans="1:15" x14ac:dyDescent="0.6">
      <c r="A127">
        <v>20260171</v>
      </c>
      <c r="B127" t="s">
        <v>59</v>
      </c>
      <c r="C127" t="s">
        <v>28</v>
      </c>
      <c r="D127" t="s">
        <v>16</v>
      </c>
      <c r="E127">
        <v>5002</v>
      </c>
      <c r="F127">
        <v>6002</v>
      </c>
      <c r="G127">
        <v>37.049999999999997</v>
      </c>
      <c r="H127">
        <v>0.37045849261284891</v>
      </c>
      <c r="I127" t="s">
        <v>45</v>
      </c>
      <c r="J127">
        <f t="shared" si="5"/>
        <v>0.62954150738715109</v>
      </c>
      <c r="K127" t="str">
        <f t="shared" si="6"/>
        <v>60~65</v>
      </c>
      <c r="L127" t="str">
        <f t="shared" si="7"/>
        <v>AWAY</v>
      </c>
      <c r="M127">
        <f t="shared" si="8"/>
        <v>0.3963225095232864</v>
      </c>
      <c r="N127">
        <v>0</v>
      </c>
      <c r="O127">
        <f t="shared" si="9"/>
        <v>1</v>
      </c>
    </row>
    <row r="128" spans="1:15" x14ac:dyDescent="0.6">
      <c r="A128">
        <v>20260172</v>
      </c>
      <c r="B128" t="s">
        <v>59</v>
      </c>
      <c r="C128" t="s">
        <v>19</v>
      </c>
      <c r="D128" t="s">
        <v>27</v>
      </c>
      <c r="E128">
        <v>9002</v>
      </c>
      <c r="F128">
        <v>11001</v>
      </c>
      <c r="G128">
        <v>39.909999999999997</v>
      </c>
      <c r="H128">
        <v>0.3990798366473759</v>
      </c>
      <c r="I128" t="s">
        <v>45</v>
      </c>
      <c r="J128">
        <f t="shared" si="5"/>
        <v>0.6009201633526241</v>
      </c>
      <c r="K128" t="str">
        <f t="shared" si="6"/>
        <v>60~65</v>
      </c>
      <c r="L128" t="str">
        <f t="shared" si="7"/>
        <v>AWAY</v>
      </c>
      <c r="M128">
        <f t="shared" si="8"/>
        <v>0.36110504272374444</v>
      </c>
      <c r="N128">
        <v>0</v>
      </c>
      <c r="O128">
        <f t="shared" si="9"/>
        <v>1</v>
      </c>
    </row>
    <row r="129" spans="1:15" x14ac:dyDescent="0.6">
      <c r="A129">
        <v>20260173</v>
      </c>
      <c r="B129" t="s">
        <v>59</v>
      </c>
      <c r="C129" t="s">
        <v>24</v>
      </c>
      <c r="D129" t="s">
        <v>23</v>
      </c>
      <c r="E129">
        <v>12001</v>
      </c>
      <c r="F129">
        <v>3001</v>
      </c>
      <c r="G129">
        <v>56.92</v>
      </c>
      <c r="H129">
        <v>0.56922357890369957</v>
      </c>
      <c r="I129" t="s">
        <v>48</v>
      </c>
      <c r="J129">
        <f t="shared" si="5"/>
        <v>0.56922357890369957</v>
      </c>
      <c r="K129" t="str">
        <f t="shared" si="6"/>
        <v>55~60</v>
      </c>
      <c r="L129" t="str">
        <f t="shared" si="7"/>
        <v>HOME</v>
      </c>
      <c r="M129" t="str">
        <f t="shared" si="8"/>
        <v/>
      </c>
      <c r="N129" t="s">
        <v>31</v>
      </c>
      <c r="O129" t="str">
        <f t="shared" si="9"/>
        <v/>
      </c>
    </row>
    <row r="130" spans="1:15" x14ac:dyDescent="0.6">
      <c r="A130">
        <v>20260174</v>
      </c>
      <c r="B130" t="s">
        <v>59</v>
      </c>
      <c r="C130" t="s">
        <v>22</v>
      </c>
      <c r="D130" t="s">
        <v>17</v>
      </c>
      <c r="E130">
        <v>1001</v>
      </c>
      <c r="F130">
        <v>10001</v>
      </c>
      <c r="G130">
        <v>80.86</v>
      </c>
      <c r="H130">
        <v>0.80862936549048037</v>
      </c>
      <c r="I130" t="s">
        <v>45</v>
      </c>
      <c r="J130">
        <f t="shared" ref="J130:J193" si="10">MAX(H130,1-H130)</f>
        <v>0.80862936549048037</v>
      </c>
      <c r="K130" t="str">
        <f t="shared" ref="K130:K193" si="11">_xlfn.IFS(
J130&lt;=0.55,"50~55",
J130&lt;=0.6,"55~60",
J130&lt;=0.65,"60~65",
J130&lt;=0.7,"65~70",
TRUE,"70~100"
)</f>
        <v>70~100</v>
      </c>
      <c r="L130" t="str">
        <f t="shared" ref="L130:L193" si="12">IF(H130&gt;=0.5,"HOME","AWAY")</f>
        <v>HOME</v>
      </c>
      <c r="M130">
        <f t="shared" ref="M130:M193" si="13">IF(AND(N130&lt;&gt;"", OR(N130=0, N130=1)), (J130-N130)^2, "")</f>
        <v>3.6622719752576145E-2</v>
      </c>
      <c r="N130">
        <v>1</v>
      </c>
      <c r="O130">
        <f t="shared" ref="O130:O193" si="14">IF(AND(N130&lt;&gt;"", OR(N130=0, N130=1)), IF(ROUND(H130,0)=N130, 1, 0), "")</f>
        <v>1</v>
      </c>
    </row>
    <row r="131" spans="1:15" x14ac:dyDescent="0.6">
      <c r="A131">
        <v>20260175</v>
      </c>
      <c r="B131" t="s">
        <v>59</v>
      </c>
      <c r="C131" t="s">
        <v>21</v>
      </c>
      <c r="D131" t="s">
        <v>20</v>
      </c>
      <c r="E131">
        <v>2002</v>
      </c>
      <c r="F131">
        <v>7002</v>
      </c>
      <c r="G131">
        <v>49.78</v>
      </c>
      <c r="H131">
        <v>0.49783790744026168</v>
      </c>
      <c r="I131" t="s">
        <v>45</v>
      </c>
      <c r="J131">
        <f t="shared" si="10"/>
        <v>0.50216209255973832</v>
      </c>
      <c r="K131" t="str">
        <f t="shared" si="11"/>
        <v>50~55</v>
      </c>
      <c r="L131" t="str">
        <f t="shared" si="12"/>
        <v>AWAY</v>
      </c>
      <c r="M131">
        <f t="shared" si="13"/>
        <v>0.25216676720397518</v>
      </c>
      <c r="N131">
        <v>0</v>
      </c>
      <c r="O131">
        <f t="shared" si="14"/>
        <v>1</v>
      </c>
    </row>
    <row r="132" spans="1:15" x14ac:dyDescent="0.6">
      <c r="A132">
        <v>20260176</v>
      </c>
      <c r="B132" t="s">
        <v>60</v>
      </c>
      <c r="C132" t="s">
        <v>16</v>
      </c>
      <c r="D132" t="s">
        <v>19</v>
      </c>
      <c r="E132">
        <v>6002</v>
      </c>
      <c r="F132">
        <v>9002</v>
      </c>
      <c r="G132">
        <v>63.78</v>
      </c>
      <c r="H132">
        <v>0.63779924259582976</v>
      </c>
      <c r="I132" t="s">
        <v>45</v>
      </c>
      <c r="J132">
        <f t="shared" si="10"/>
        <v>0.63779924259582976</v>
      </c>
      <c r="K132" t="str">
        <f t="shared" si="11"/>
        <v>60~65</v>
      </c>
      <c r="L132" t="str">
        <f t="shared" si="12"/>
        <v>HOME</v>
      </c>
      <c r="M132">
        <f t="shared" si="13"/>
        <v>0.40678787385581411</v>
      </c>
      <c r="N132">
        <v>0</v>
      </c>
      <c r="O132">
        <f t="shared" si="14"/>
        <v>0</v>
      </c>
    </row>
    <row r="133" spans="1:15" x14ac:dyDescent="0.6">
      <c r="A133">
        <v>20260177</v>
      </c>
      <c r="B133" t="s">
        <v>60</v>
      </c>
      <c r="C133" t="s">
        <v>17</v>
      </c>
      <c r="D133" t="s">
        <v>24</v>
      </c>
      <c r="E133">
        <v>10001</v>
      </c>
      <c r="F133">
        <v>12001</v>
      </c>
      <c r="G133">
        <v>58.9</v>
      </c>
      <c r="H133">
        <v>0.58902498887762167</v>
      </c>
      <c r="I133" t="s">
        <v>45</v>
      </c>
      <c r="J133">
        <f t="shared" si="10"/>
        <v>0.58902498887762167</v>
      </c>
      <c r="K133" t="str">
        <f t="shared" si="11"/>
        <v>55~60</v>
      </c>
      <c r="L133" t="str">
        <f t="shared" si="12"/>
        <v>HOME</v>
      </c>
      <c r="M133">
        <f t="shared" si="13"/>
        <v>0.34695043752228233</v>
      </c>
      <c r="N133">
        <v>0</v>
      </c>
      <c r="O133">
        <f t="shared" si="14"/>
        <v>0</v>
      </c>
    </row>
    <row r="134" spans="1:15" x14ac:dyDescent="0.6">
      <c r="A134">
        <v>20260178</v>
      </c>
      <c r="B134" t="s">
        <v>60</v>
      </c>
      <c r="C134" t="s">
        <v>20</v>
      </c>
      <c r="D134" t="s">
        <v>28</v>
      </c>
      <c r="E134">
        <v>7002</v>
      </c>
      <c r="F134">
        <v>5002</v>
      </c>
      <c r="G134">
        <v>48.08</v>
      </c>
      <c r="H134">
        <v>0.48080597223779181</v>
      </c>
      <c r="I134" t="s">
        <v>45</v>
      </c>
      <c r="J134">
        <f t="shared" si="10"/>
        <v>0.51919402776220824</v>
      </c>
      <c r="K134" t="str">
        <f t="shared" si="11"/>
        <v>50~55</v>
      </c>
      <c r="L134" t="str">
        <f t="shared" si="12"/>
        <v>AWAY</v>
      </c>
      <c r="M134">
        <f t="shared" si="13"/>
        <v>0.26956243846394468</v>
      </c>
      <c r="N134">
        <v>0</v>
      </c>
      <c r="O134">
        <f t="shared" si="14"/>
        <v>1</v>
      </c>
    </row>
    <row r="135" spans="1:15" x14ac:dyDescent="0.6">
      <c r="A135">
        <v>20260179</v>
      </c>
      <c r="B135" t="s">
        <v>60</v>
      </c>
      <c r="C135" t="s">
        <v>23</v>
      </c>
      <c r="D135" t="s">
        <v>21</v>
      </c>
      <c r="E135">
        <v>3001</v>
      </c>
      <c r="F135">
        <v>2002</v>
      </c>
      <c r="G135">
        <v>54.6</v>
      </c>
      <c r="H135">
        <v>0.54595145579946514</v>
      </c>
      <c r="I135" t="s">
        <v>45</v>
      </c>
      <c r="J135">
        <f t="shared" si="10"/>
        <v>0.54595145579946514</v>
      </c>
      <c r="K135" t="str">
        <f t="shared" si="11"/>
        <v>50~55</v>
      </c>
      <c r="L135" t="str">
        <f t="shared" si="12"/>
        <v>HOME</v>
      </c>
      <c r="M135">
        <f t="shared" si="13"/>
        <v>0.29806299208955533</v>
      </c>
      <c r="N135">
        <v>0</v>
      </c>
      <c r="O135">
        <f t="shared" si="14"/>
        <v>0</v>
      </c>
    </row>
    <row r="136" spans="1:15" x14ac:dyDescent="0.6">
      <c r="A136">
        <v>20260180</v>
      </c>
      <c r="B136" t="s">
        <v>60</v>
      </c>
      <c r="C136" t="s">
        <v>27</v>
      </c>
      <c r="D136" t="s">
        <v>22</v>
      </c>
      <c r="E136">
        <v>11001</v>
      </c>
      <c r="F136">
        <v>1001</v>
      </c>
      <c r="G136">
        <v>12.49</v>
      </c>
      <c r="H136">
        <v>0.1248703257666177</v>
      </c>
      <c r="I136" t="s">
        <v>45</v>
      </c>
      <c r="J136">
        <f t="shared" si="10"/>
        <v>0.87512967423338228</v>
      </c>
      <c r="K136" t="str">
        <f t="shared" si="11"/>
        <v>70~100</v>
      </c>
      <c r="L136" t="str">
        <f t="shared" si="12"/>
        <v>AWAY</v>
      </c>
      <c r="M136">
        <f t="shared" si="13"/>
        <v>0.76585194672382584</v>
      </c>
      <c r="N136">
        <v>0</v>
      </c>
      <c r="O136">
        <f t="shared" si="14"/>
        <v>1</v>
      </c>
    </row>
    <row r="137" spans="1:15" x14ac:dyDescent="0.6">
      <c r="A137">
        <v>20260183</v>
      </c>
      <c r="B137" t="s">
        <v>61</v>
      </c>
      <c r="C137" t="s">
        <v>20</v>
      </c>
      <c r="D137" t="s">
        <v>28</v>
      </c>
      <c r="E137">
        <v>7002</v>
      </c>
      <c r="F137">
        <v>5002</v>
      </c>
      <c r="G137">
        <v>57.31</v>
      </c>
      <c r="H137">
        <v>0.57307741578120308</v>
      </c>
      <c r="I137" t="s">
        <v>48</v>
      </c>
      <c r="J137">
        <f t="shared" si="10"/>
        <v>0.57307741578120308</v>
      </c>
      <c r="K137" t="str">
        <f t="shared" si="11"/>
        <v>55~60</v>
      </c>
      <c r="L137" t="str">
        <f t="shared" si="12"/>
        <v>HOME</v>
      </c>
      <c r="M137">
        <f t="shared" si="13"/>
        <v>0.18226289291605574</v>
      </c>
      <c r="N137">
        <v>1</v>
      </c>
      <c r="O137">
        <f t="shared" si="14"/>
        <v>1</v>
      </c>
    </row>
    <row r="138" spans="1:15" x14ac:dyDescent="0.6">
      <c r="A138">
        <v>20260181</v>
      </c>
      <c r="B138" t="s">
        <v>61</v>
      </c>
      <c r="C138" t="s">
        <v>16</v>
      </c>
      <c r="D138" t="s">
        <v>19</v>
      </c>
      <c r="E138">
        <v>6002</v>
      </c>
      <c r="F138">
        <v>9002</v>
      </c>
      <c r="G138">
        <v>74.760000000000005</v>
      </c>
      <c r="H138">
        <v>0.74757672877705017</v>
      </c>
      <c r="I138" t="s">
        <v>48</v>
      </c>
      <c r="J138">
        <f t="shared" si="10"/>
        <v>0.74757672877705017</v>
      </c>
      <c r="K138" t="str">
        <f t="shared" si="11"/>
        <v>70~100</v>
      </c>
      <c r="L138" t="str">
        <f t="shared" si="12"/>
        <v>HOME</v>
      </c>
      <c r="M138">
        <f t="shared" si="13"/>
        <v>6.3717507854894898E-2</v>
      </c>
      <c r="N138">
        <v>1</v>
      </c>
      <c r="O138">
        <f t="shared" si="14"/>
        <v>1</v>
      </c>
    </row>
    <row r="139" spans="1:15" x14ac:dyDescent="0.6">
      <c r="A139">
        <v>20260182</v>
      </c>
      <c r="B139" t="s">
        <v>61</v>
      </c>
      <c r="C139" t="s">
        <v>17</v>
      </c>
      <c r="D139" t="s">
        <v>24</v>
      </c>
      <c r="E139">
        <v>10001</v>
      </c>
      <c r="F139">
        <v>12001</v>
      </c>
      <c r="G139">
        <v>44.53</v>
      </c>
      <c r="H139">
        <v>0.44526955648898792</v>
      </c>
      <c r="I139" t="s">
        <v>48</v>
      </c>
      <c r="J139">
        <f t="shared" si="10"/>
        <v>0.55473044351101208</v>
      </c>
      <c r="K139" t="str">
        <f t="shared" si="11"/>
        <v>55~60</v>
      </c>
      <c r="L139" t="str">
        <f t="shared" si="12"/>
        <v>AWAY</v>
      </c>
      <c r="M139" t="str">
        <f t="shared" si="13"/>
        <v/>
      </c>
      <c r="N139" t="s">
        <v>50</v>
      </c>
      <c r="O139" t="str">
        <f t="shared" si="14"/>
        <v/>
      </c>
    </row>
    <row r="140" spans="1:15" x14ac:dyDescent="0.6">
      <c r="A140">
        <v>20260184</v>
      </c>
      <c r="B140" t="s">
        <v>61</v>
      </c>
      <c r="C140" t="s">
        <v>23</v>
      </c>
      <c r="D140" t="s">
        <v>21</v>
      </c>
      <c r="E140">
        <v>3001</v>
      </c>
      <c r="F140">
        <v>2002</v>
      </c>
      <c r="G140">
        <v>68.41</v>
      </c>
      <c r="H140">
        <v>0.68413561292976277</v>
      </c>
      <c r="I140" t="s">
        <v>48</v>
      </c>
      <c r="J140">
        <f t="shared" si="10"/>
        <v>0.68413561292976277</v>
      </c>
      <c r="K140" t="str">
        <f t="shared" si="11"/>
        <v>65~70</v>
      </c>
      <c r="L140" t="str">
        <f t="shared" si="12"/>
        <v>HOME</v>
      </c>
      <c r="M140">
        <f t="shared" si="13"/>
        <v>0.46804153687878219</v>
      </c>
      <c r="N140">
        <v>0</v>
      </c>
      <c r="O140">
        <f t="shared" si="14"/>
        <v>0</v>
      </c>
    </row>
    <row r="141" spans="1:15" x14ac:dyDescent="0.6">
      <c r="A141">
        <v>20260185</v>
      </c>
      <c r="B141" t="s">
        <v>61</v>
      </c>
      <c r="C141" t="s">
        <v>27</v>
      </c>
      <c r="D141" t="s">
        <v>22</v>
      </c>
      <c r="E141">
        <v>11001</v>
      </c>
      <c r="F141">
        <v>1001</v>
      </c>
      <c r="G141">
        <v>29.31</v>
      </c>
      <c r="H141">
        <v>0.29306590564598511</v>
      </c>
      <c r="I141" t="s">
        <v>48</v>
      </c>
      <c r="J141">
        <f t="shared" si="10"/>
        <v>0.70693409435401489</v>
      </c>
      <c r="K141" t="str">
        <f t="shared" si="11"/>
        <v>70~100</v>
      </c>
      <c r="L141" t="str">
        <f t="shared" si="12"/>
        <v>AWAY</v>
      </c>
      <c r="M141">
        <f t="shared" si="13"/>
        <v>0.49975581376013123</v>
      </c>
      <c r="N141">
        <v>0</v>
      </c>
      <c r="O141">
        <f t="shared" si="14"/>
        <v>1</v>
      </c>
    </row>
    <row r="142" spans="1:15" x14ac:dyDescent="0.6">
      <c r="A142">
        <v>20260186</v>
      </c>
      <c r="B142" t="s">
        <v>62</v>
      </c>
      <c r="C142" t="s">
        <v>16</v>
      </c>
      <c r="D142" t="s">
        <v>19</v>
      </c>
      <c r="E142">
        <v>6002</v>
      </c>
      <c r="F142">
        <v>9002</v>
      </c>
      <c r="G142">
        <v>61.8</v>
      </c>
      <c r="H142">
        <v>0.61802748790887685</v>
      </c>
      <c r="I142" t="s">
        <v>45</v>
      </c>
      <c r="J142">
        <f t="shared" si="10"/>
        <v>0.61802748790887685</v>
      </c>
      <c r="K142" t="str">
        <f t="shared" si="11"/>
        <v>60~65</v>
      </c>
      <c r="L142" t="str">
        <f t="shared" si="12"/>
        <v>HOME</v>
      </c>
      <c r="M142">
        <f t="shared" si="13"/>
        <v>0.14590299999320322</v>
      </c>
      <c r="N142">
        <v>1</v>
      </c>
      <c r="O142">
        <f t="shared" si="14"/>
        <v>1</v>
      </c>
    </row>
    <row r="143" spans="1:15" x14ac:dyDescent="0.6">
      <c r="A143">
        <v>20260187</v>
      </c>
      <c r="B143" t="s">
        <v>62</v>
      </c>
      <c r="C143" t="s">
        <v>17</v>
      </c>
      <c r="D143" t="s">
        <v>24</v>
      </c>
      <c r="E143">
        <v>10001</v>
      </c>
      <c r="F143">
        <v>12001</v>
      </c>
      <c r="G143">
        <v>26.63</v>
      </c>
      <c r="H143">
        <v>0.2662736548573697</v>
      </c>
      <c r="I143" t="s">
        <v>45</v>
      </c>
      <c r="J143">
        <f t="shared" si="10"/>
        <v>0.73372634514263035</v>
      </c>
      <c r="K143" t="str">
        <f t="shared" si="11"/>
        <v>70~100</v>
      </c>
      <c r="L143" t="str">
        <f t="shared" si="12"/>
        <v>AWAY</v>
      </c>
      <c r="M143">
        <f t="shared" si="13"/>
        <v>7.0901659271101619E-2</v>
      </c>
      <c r="N143">
        <v>1</v>
      </c>
      <c r="O143">
        <f t="shared" si="14"/>
        <v>0</v>
      </c>
    </row>
    <row r="144" spans="1:15" x14ac:dyDescent="0.6">
      <c r="A144">
        <v>20260188</v>
      </c>
      <c r="B144" t="s">
        <v>62</v>
      </c>
      <c r="C144" t="s">
        <v>20</v>
      </c>
      <c r="D144" t="s">
        <v>28</v>
      </c>
      <c r="E144">
        <v>7002</v>
      </c>
      <c r="F144">
        <v>5002</v>
      </c>
      <c r="G144">
        <v>38.69</v>
      </c>
      <c r="H144">
        <v>0.38689300226251422</v>
      </c>
      <c r="I144" t="s">
        <v>45</v>
      </c>
      <c r="J144">
        <f t="shared" si="10"/>
        <v>0.61310699773748578</v>
      </c>
      <c r="K144" t="str">
        <f t="shared" si="11"/>
        <v>60~65</v>
      </c>
      <c r="L144" t="str">
        <f t="shared" si="12"/>
        <v>AWAY</v>
      </c>
      <c r="M144">
        <f t="shared" si="13"/>
        <v>0.14968619519970183</v>
      </c>
      <c r="N144">
        <v>1</v>
      </c>
      <c r="O144">
        <f t="shared" si="14"/>
        <v>0</v>
      </c>
    </row>
    <row r="145" spans="1:15" x14ac:dyDescent="0.6">
      <c r="A145">
        <v>20260189</v>
      </c>
      <c r="B145" t="s">
        <v>62</v>
      </c>
      <c r="C145" t="s">
        <v>23</v>
      </c>
      <c r="D145" t="s">
        <v>21</v>
      </c>
      <c r="E145">
        <v>3001</v>
      </c>
      <c r="F145">
        <v>2002</v>
      </c>
      <c r="G145">
        <v>54.02</v>
      </c>
      <c r="H145">
        <v>0.54022591026078093</v>
      </c>
      <c r="I145" t="s">
        <v>45</v>
      </c>
      <c r="J145">
        <f t="shared" si="10"/>
        <v>0.54022591026078093</v>
      </c>
      <c r="K145" t="str">
        <f t="shared" si="11"/>
        <v>50~55</v>
      </c>
      <c r="L145" t="str">
        <f t="shared" si="12"/>
        <v>HOME</v>
      </c>
      <c r="M145">
        <f t="shared" si="13"/>
        <v>0.21139221359552748</v>
      </c>
      <c r="N145">
        <v>1</v>
      </c>
      <c r="O145">
        <f t="shared" si="14"/>
        <v>1</v>
      </c>
    </row>
    <row r="146" spans="1:15" x14ac:dyDescent="0.6">
      <c r="A146">
        <v>20260190</v>
      </c>
      <c r="B146" t="s">
        <v>62</v>
      </c>
      <c r="C146" t="s">
        <v>27</v>
      </c>
      <c r="D146" t="s">
        <v>22</v>
      </c>
      <c r="E146">
        <v>11001</v>
      </c>
      <c r="F146">
        <v>1001</v>
      </c>
      <c r="G146">
        <v>19.79</v>
      </c>
      <c r="H146">
        <v>0.1979181508787887</v>
      </c>
      <c r="I146" t="s">
        <v>45</v>
      </c>
      <c r="J146">
        <f t="shared" si="10"/>
        <v>0.80208184912121128</v>
      </c>
      <c r="K146" t="str">
        <f t="shared" si="11"/>
        <v>70~100</v>
      </c>
      <c r="L146" t="str">
        <f t="shared" si="12"/>
        <v>AWAY</v>
      </c>
      <c r="M146">
        <f t="shared" si="13"/>
        <v>0.64333529268970158</v>
      </c>
      <c r="N146">
        <v>0</v>
      </c>
      <c r="O146">
        <f t="shared" si="14"/>
        <v>1</v>
      </c>
    </row>
    <row r="147" spans="1:15" x14ac:dyDescent="0.6">
      <c r="A147">
        <v>20260191</v>
      </c>
      <c r="B147" t="s">
        <v>63</v>
      </c>
      <c r="C147" t="s">
        <v>28</v>
      </c>
      <c r="D147" t="s">
        <v>22</v>
      </c>
      <c r="E147">
        <v>5002</v>
      </c>
      <c r="F147">
        <v>1001</v>
      </c>
      <c r="G147">
        <v>27.68</v>
      </c>
      <c r="H147">
        <v>0.27680352180093409</v>
      </c>
      <c r="I147" t="s">
        <v>45</v>
      </c>
      <c r="J147">
        <f t="shared" si="10"/>
        <v>0.72319647819906585</v>
      </c>
      <c r="K147" t="str">
        <f t="shared" si="11"/>
        <v>70~100</v>
      </c>
      <c r="L147" t="str">
        <f t="shared" si="12"/>
        <v>AWAY</v>
      </c>
      <c r="M147">
        <f t="shared" si="13"/>
        <v>0.52301314607953198</v>
      </c>
      <c r="N147">
        <v>0</v>
      </c>
      <c r="O147">
        <f t="shared" si="14"/>
        <v>1</v>
      </c>
    </row>
    <row r="148" spans="1:15" x14ac:dyDescent="0.6">
      <c r="A148">
        <v>20260192</v>
      </c>
      <c r="B148" t="s">
        <v>63</v>
      </c>
      <c r="C148" t="s">
        <v>17</v>
      </c>
      <c r="D148" t="s">
        <v>20</v>
      </c>
      <c r="E148">
        <v>10001</v>
      </c>
      <c r="F148">
        <v>7002</v>
      </c>
      <c r="G148">
        <v>23.9</v>
      </c>
      <c r="H148">
        <v>0.2389945904564815</v>
      </c>
      <c r="I148" t="s">
        <v>45</v>
      </c>
      <c r="J148">
        <f t="shared" si="10"/>
        <v>0.76100540954351847</v>
      </c>
      <c r="K148" t="str">
        <f t="shared" si="11"/>
        <v>70~100</v>
      </c>
      <c r="L148" t="str">
        <f t="shared" si="12"/>
        <v>AWAY</v>
      </c>
      <c r="M148">
        <f t="shared" si="13"/>
        <v>0.57912923335449829</v>
      </c>
      <c r="N148">
        <v>0</v>
      </c>
      <c r="O148">
        <f t="shared" si="14"/>
        <v>1</v>
      </c>
    </row>
    <row r="149" spans="1:15" x14ac:dyDescent="0.6">
      <c r="A149">
        <v>20260193</v>
      </c>
      <c r="B149" t="s">
        <v>63</v>
      </c>
      <c r="C149" t="s">
        <v>24</v>
      </c>
      <c r="D149" t="s">
        <v>19</v>
      </c>
      <c r="E149">
        <v>12001</v>
      </c>
      <c r="F149">
        <v>9002</v>
      </c>
      <c r="G149">
        <v>54.78</v>
      </c>
      <c r="H149">
        <v>0.54779220382946492</v>
      </c>
      <c r="I149" t="s">
        <v>45</v>
      </c>
      <c r="J149">
        <f t="shared" si="10"/>
        <v>0.54779220382946492</v>
      </c>
      <c r="K149" t="str">
        <f t="shared" si="11"/>
        <v>50~55</v>
      </c>
      <c r="L149" t="str">
        <f t="shared" si="12"/>
        <v>HOME</v>
      </c>
      <c r="M149">
        <f t="shared" si="13"/>
        <v>0.30007629857634205</v>
      </c>
      <c r="N149">
        <v>0</v>
      </c>
      <c r="O149">
        <f t="shared" si="14"/>
        <v>0</v>
      </c>
    </row>
    <row r="150" spans="1:15" x14ac:dyDescent="0.6">
      <c r="A150">
        <v>20260194</v>
      </c>
      <c r="B150" t="s">
        <v>63</v>
      </c>
      <c r="C150" t="s">
        <v>21</v>
      </c>
      <c r="D150" t="s">
        <v>16</v>
      </c>
      <c r="E150">
        <v>2002</v>
      </c>
      <c r="F150">
        <v>6002</v>
      </c>
      <c r="G150">
        <v>69.680000000000007</v>
      </c>
      <c r="H150">
        <v>0.69681241371972835</v>
      </c>
      <c r="I150" t="s">
        <v>45</v>
      </c>
      <c r="J150">
        <f t="shared" si="10"/>
        <v>0.69681241371972835</v>
      </c>
      <c r="K150" t="str">
        <f t="shared" si="11"/>
        <v>65~70</v>
      </c>
      <c r="L150" t="str">
        <f t="shared" si="12"/>
        <v>HOME</v>
      </c>
      <c r="M150">
        <f t="shared" si="13"/>
        <v>0.48554753991391386</v>
      </c>
      <c r="N150">
        <v>0</v>
      </c>
      <c r="O150">
        <f t="shared" si="14"/>
        <v>0</v>
      </c>
    </row>
    <row r="151" spans="1:15" x14ac:dyDescent="0.6">
      <c r="A151">
        <v>20260195</v>
      </c>
      <c r="B151" t="s">
        <v>63</v>
      </c>
      <c r="C151" t="s">
        <v>23</v>
      </c>
      <c r="D151" t="s">
        <v>27</v>
      </c>
      <c r="E151">
        <v>3001</v>
      </c>
      <c r="F151">
        <v>11001</v>
      </c>
      <c r="G151">
        <v>66.650000000000006</v>
      </c>
      <c r="H151">
        <v>0.66651286693059675</v>
      </c>
      <c r="I151" t="s">
        <v>45</v>
      </c>
      <c r="J151">
        <f t="shared" si="10"/>
        <v>0.66651286693059675</v>
      </c>
      <c r="K151" t="str">
        <f t="shared" si="11"/>
        <v>65~70</v>
      </c>
      <c r="L151" t="str">
        <f t="shared" si="12"/>
        <v>HOME</v>
      </c>
      <c r="M151">
        <f t="shared" si="13"/>
        <v>0.44423940178404336</v>
      </c>
      <c r="N151">
        <v>0</v>
      </c>
      <c r="O151">
        <f t="shared" si="14"/>
        <v>0</v>
      </c>
    </row>
    <row r="152" spans="1:15" x14ac:dyDescent="0.6">
      <c r="A152">
        <v>20260196</v>
      </c>
      <c r="B152" t="s">
        <v>64</v>
      </c>
      <c r="C152" t="s">
        <v>28</v>
      </c>
      <c r="D152" t="s">
        <v>22</v>
      </c>
      <c r="E152">
        <v>5002</v>
      </c>
      <c r="F152">
        <v>1001</v>
      </c>
      <c r="G152">
        <v>35.47</v>
      </c>
      <c r="H152">
        <v>0.35473851959136499</v>
      </c>
      <c r="I152" t="s">
        <v>48</v>
      </c>
      <c r="J152">
        <f t="shared" si="10"/>
        <v>0.64526148040863496</v>
      </c>
      <c r="K152" t="str">
        <f t="shared" si="11"/>
        <v>60~65</v>
      </c>
      <c r="L152" t="str">
        <f t="shared" si="12"/>
        <v>AWAY</v>
      </c>
      <c r="M152">
        <f t="shared" si="13"/>
        <v>0.12583941728187328</v>
      </c>
      <c r="N152">
        <v>1</v>
      </c>
      <c r="O152">
        <f t="shared" si="14"/>
        <v>0</v>
      </c>
    </row>
    <row r="153" spans="1:15" x14ac:dyDescent="0.6">
      <c r="A153">
        <v>20260197</v>
      </c>
      <c r="B153" t="s">
        <v>64</v>
      </c>
      <c r="C153" t="s">
        <v>17</v>
      </c>
      <c r="D153" t="s">
        <v>20</v>
      </c>
      <c r="E153">
        <v>10001</v>
      </c>
      <c r="F153">
        <v>7002</v>
      </c>
      <c r="G153">
        <v>52.26</v>
      </c>
      <c r="H153">
        <v>0.52259919684169609</v>
      </c>
      <c r="I153" t="s">
        <v>48</v>
      </c>
      <c r="J153">
        <f t="shared" si="10"/>
        <v>0.52259919684169609</v>
      </c>
      <c r="K153" t="str">
        <f t="shared" si="11"/>
        <v>50~55</v>
      </c>
      <c r="L153" t="str">
        <f t="shared" si="12"/>
        <v>HOME</v>
      </c>
      <c r="M153">
        <f t="shared" si="13"/>
        <v>0.22791152685619365</v>
      </c>
      <c r="N153">
        <v>1</v>
      </c>
      <c r="O153">
        <f t="shared" si="14"/>
        <v>1</v>
      </c>
    </row>
    <row r="154" spans="1:15" x14ac:dyDescent="0.6">
      <c r="A154">
        <v>20260198</v>
      </c>
      <c r="B154" t="s">
        <v>64</v>
      </c>
      <c r="C154" t="s">
        <v>24</v>
      </c>
      <c r="D154" t="s">
        <v>19</v>
      </c>
      <c r="E154">
        <v>12001</v>
      </c>
      <c r="F154">
        <v>9002</v>
      </c>
      <c r="G154">
        <v>66.819999999999993</v>
      </c>
      <c r="H154">
        <v>0.6681551578999807</v>
      </c>
      <c r="I154" t="s">
        <v>48</v>
      </c>
      <c r="J154">
        <f t="shared" si="10"/>
        <v>0.6681551578999807</v>
      </c>
      <c r="K154" t="str">
        <f t="shared" si="11"/>
        <v>65~70</v>
      </c>
      <c r="L154" t="str">
        <f t="shared" si="12"/>
        <v>HOME</v>
      </c>
      <c r="M154">
        <f t="shared" si="13"/>
        <v>0.11012099922838674</v>
      </c>
      <c r="N154">
        <v>1</v>
      </c>
      <c r="O154">
        <f t="shared" si="14"/>
        <v>1</v>
      </c>
    </row>
    <row r="155" spans="1:15" x14ac:dyDescent="0.6">
      <c r="A155">
        <v>20260199</v>
      </c>
      <c r="B155" t="s">
        <v>64</v>
      </c>
      <c r="C155" t="s">
        <v>21</v>
      </c>
      <c r="D155" t="s">
        <v>16</v>
      </c>
      <c r="E155">
        <v>2002</v>
      </c>
      <c r="F155">
        <v>6002</v>
      </c>
      <c r="G155">
        <v>20.28</v>
      </c>
      <c r="H155">
        <v>0.20282557994091341</v>
      </c>
      <c r="I155" t="s">
        <v>48</v>
      </c>
      <c r="J155">
        <f t="shared" si="10"/>
        <v>0.79717442005908656</v>
      </c>
      <c r="K155" t="str">
        <f t="shared" si="11"/>
        <v>70~100</v>
      </c>
      <c r="L155" t="str">
        <f t="shared" si="12"/>
        <v>AWAY</v>
      </c>
      <c r="M155">
        <f t="shared" si="13"/>
        <v>4.113821587836787E-2</v>
      </c>
      <c r="N155">
        <v>1</v>
      </c>
      <c r="O155">
        <f t="shared" si="14"/>
        <v>0</v>
      </c>
    </row>
    <row r="156" spans="1:15" x14ac:dyDescent="0.6">
      <c r="A156">
        <v>20260200</v>
      </c>
      <c r="B156" t="s">
        <v>64</v>
      </c>
      <c r="C156" t="s">
        <v>23</v>
      </c>
      <c r="D156" t="s">
        <v>27</v>
      </c>
      <c r="E156">
        <v>3001</v>
      </c>
      <c r="F156">
        <v>11001</v>
      </c>
      <c r="G156">
        <v>69.78</v>
      </c>
      <c r="H156">
        <v>0.6977748647329215</v>
      </c>
      <c r="I156" t="s">
        <v>48</v>
      </c>
      <c r="J156">
        <f t="shared" si="10"/>
        <v>0.6977748647329215</v>
      </c>
      <c r="K156" t="str">
        <f t="shared" si="11"/>
        <v>65~70</v>
      </c>
      <c r="L156" t="str">
        <f t="shared" si="12"/>
        <v>HOME</v>
      </c>
      <c r="M156">
        <f t="shared" si="13"/>
        <v>9.1340032387203896E-2</v>
      </c>
      <c r="N156">
        <v>1</v>
      </c>
      <c r="O156">
        <f t="shared" si="14"/>
        <v>1</v>
      </c>
    </row>
    <row r="157" spans="1:15" x14ac:dyDescent="0.6">
      <c r="A157">
        <v>20260201</v>
      </c>
      <c r="B157" t="s">
        <v>65</v>
      </c>
      <c r="C157" t="s">
        <v>28</v>
      </c>
      <c r="D157" t="s">
        <v>22</v>
      </c>
      <c r="E157">
        <v>5002</v>
      </c>
      <c r="F157">
        <v>1001</v>
      </c>
      <c r="G157">
        <v>37.72</v>
      </c>
      <c r="H157">
        <v>0.37721085819681888</v>
      </c>
      <c r="I157" t="s">
        <v>45</v>
      </c>
      <c r="J157">
        <f t="shared" si="10"/>
        <v>0.62278914180318112</v>
      </c>
      <c r="K157" t="str">
        <f t="shared" si="11"/>
        <v>60~65</v>
      </c>
      <c r="L157" t="str">
        <f t="shared" si="12"/>
        <v>AWAY</v>
      </c>
      <c r="M157">
        <f t="shared" si="13"/>
        <v>0.38786631514794284</v>
      </c>
      <c r="N157">
        <v>0</v>
      </c>
      <c r="O157">
        <f t="shared" si="14"/>
        <v>1</v>
      </c>
    </row>
    <row r="158" spans="1:15" x14ac:dyDescent="0.6">
      <c r="A158">
        <v>20260202</v>
      </c>
      <c r="B158" t="s">
        <v>65</v>
      </c>
      <c r="C158" t="s">
        <v>17</v>
      </c>
      <c r="D158" t="s">
        <v>20</v>
      </c>
      <c r="E158">
        <v>10001</v>
      </c>
      <c r="F158">
        <v>7002</v>
      </c>
      <c r="G158">
        <v>42.7</v>
      </c>
      <c r="H158">
        <v>0.42702045798871918</v>
      </c>
      <c r="I158" t="s">
        <v>45</v>
      </c>
      <c r="J158">
        <f t="shared" si="10"/>
        <v>0.57297954201128087</v>
      </c>
      <c r="K158" t="str">
        <f t="shared" si="11"/>
        <v>55~60</v>
      </c>
      <c r="L158" t="str">
        <f t="shared" si="12"/>
        <v>AWAY</v>
      </c>
      <c r="M158">
        <f t="shared" si="13"/>
        <v>0.3283055555634572</v>
      </c>
      <c r="N158">
        <v>0</v>
      </c>
      <c r="O158">
        <f t="shared" si="14"/>
        <v>1</v>
      </c>
    </row>
    <row r="159" spans="1:15" x14ac:dyDescent="0.6">
      <c r="A159">
        <v>20260203</v>
      </c>
      <c r="B159" t="s">
        <v>65</v>
      </c>
      <c r="C159" t="s">
        <v>24</v>
      </c>
      <c r="D159" t="s">
        <v>19</v>
      </c>
      <c r="E159">
        <v>12001</v>
      </c>
      <c r="F159">
        <v>9002</v>
      </c>
      <c r="G159">
        <v>63.06</v>
      </c>
      <c r="H159">
        <v>0.63057005967076407</v>
      </c>
      <c r="I159" t="s">
        <v>45</v>
      </c>
      <c r="J159">
        <f t="shared" si="10"/>
        <v>0.63057005967076407</v>
      </c>
      <c r="K159" t="str">
        <f t="shared" si="11"/>
        <v>60~65</v>
      </c>
      <c r="L159" t="str">
        <f t="shared" si="12"/>
        <v>HOME</v>
      </c>
      <c r="M159">
        <f t="shared" si="13"/>
        <v>0.39761860015319095</v>
      </c>
      <c r="N159">
        <v>0</v>
      </c>
      <c r="O159">
        <f t="shared" si="14"/>
        <v>0</v>
      </c>
    </row>
    <row r="160" spans="1:15" x14ac:dyDescent="0.6">
      <c r="A160">
        <v>20260204</v>
      </c>
      <c r="B160" t="s">
        <v>65</v>
      </c>
      <c r="C160" t="s">
        <v>21</v>
      </c>
      <c r="D160" t="s">
        <v>16</v>
      </c>
      <c r="E160">
        <v>2002</v>
      </c>
      <c r="F160">
        <v>6002</v>
      </c>
      <c r="G160">
        <v>39.630000000000003</v>
      </c>
      <c r="H160">
        <v>0.3963160945950911</v>
      </c>
      <c r="I160" t="s">
        <v>45</v>
      </c>
      <c r="J160">
        <f t="shared" si="10"/>
        <v>0.6036839054049089</v>
      </c>
      <c r="K160" t="str">
        <f t="shared" si="11"/>
        <v>60~65</v>
      </c>
      <c r="L160" t="str">
        <f t="shared" si="12"/>
        <v>AWAY</v>
      </c>
      <c r="M160">
        <f t="shared" si="13"/>
        <v>0.15706644683510521</v>
      </c>
      <c r="N160">
        <v>1</v>
      </c>
      <c r="O160">
        <f t="shared" si="14"/>
        <v>0</v>
      </c>
    </row>
    <row r="161" spans="1:15" x14ac:dyDescent="0.6">
      <c r="A161">
        <v>20260205</v>
      </c>
      <c r="B161" t="s">
        <v>65</v>
      </c>
      <c r="C161" t="s">
        <v>23</v>
      </c>
      <c r="D161" t="s">
        <v>27</v>
      </c>
      <c r="E161">
        <v>3001</v>
      </c>
      <c r="F161">
        <v>11001</v>
      </c>
      <c r="G161">
        <v>43.45</v>
      </c>
      <c r="H161">
        <v>0.43447635233201659</v>
      </c>
      <c r="I161" t="s">
        <v>45</v>
      </c>
      <c r="J161">
        <f t="shared" si="10"/>
        <v>0.56552364766798346</v>
      </c>
      <c r="K161" t="str">
        <f t="shared" si="11"/>
        <v>55~60</v>
      </c>
      <c r="L161" t="str">
        <f t="shared" si="12"/>
        <v>AWAY</v>
      </c>
      <c r="M161">
        <f t="shared" si="13"/>
        <v>0.3198169960717015</v>
      </c>
      <c r="N161">
        <v>0</v>
      </c>
      <c r="O161">
        <f t="shared" si="14"/>
        <v>1</v>
      </c>
    </row>
    <row r="162" spans="1:15" x14ac:dyDescent="0.6">
      <c r="A162">
        <v>20260206</v>
      </c>
      <c r="B162" t="s">
        <v>66</v>
      </c>
      <c r="C162" t="s">
        <v>16</v>
      </c>
      <c r="D162" t="s">
        <v>23</v>
      </c>
      <c r="E162">
        <v>6002</v>
      </c>
      <c r="F162">
        <v>3001</v>
      </c>
      <c r="G162">
        <v>51.65</v>
      </c>
      <c r="H162">
        <v>0.51653305415087114</v>
      </c>
      <c r="I162" t="s">
        <v>48</v>
      </c>
      <c r="J162">
        <f t="shared" si="10"/>
        <v>0.51653305415087114</v>
      </c>
      <c r="K162" t="str">
        <f t="shared" si="11"/>
        <v>50~55</v>
      </c>
      <c r="L162" t="str">
        <f t="shared" si="12"/>
        <v>HOME</v>
      </c>
      <c r="M162">
        <f t="shared" si="13"/>
        <v>0.26680639603042677</v>
      </c>
      <c r="N162">
        <v>0</v>
      </c>
      <c r="O162">
        <f t="shared" si="14"/>
        <v>0</v>
      </c>
    </row>
    <row r="163" spans="1:15" x14ac:dyDescent="0.6">
      <c r="A163">
        <v>20260207</v>
      </c>
      <c r="B163" t="s">
        <v>66</v>
      </c>
      <c r="C163" t="s">
        <v>19</v>
      </c>
      <c r="D163" t="s">
        <v>28</v>
      </c>
      <c r="E163">
        <v>9002</v>
      </c>
      <c r="F163">
        <v>5002</v>
      </c>
      <c r="G163">
        <v>10.28</v>
      </c>
      <c r="H163">
        <v>0.10283560456027691</v>
      </c>
      <c r="I163" t="s">
        <v>48</v>
      </c>
      <c r="J163">
        <f t="shared" si="10"/>
        <v>0.89716439543972304</v>
      </c>
      <c r="K163" t="str">
        <f t="shared" si="11"/>
        <v>70~100</v>
      </c>
      <c r="L163" t="str">
        <f t="shared" si="12"/>
        <v>AWAY</v>
      </c>
      <c r="M163">
        <f t="shared" si="13"/>
        <v>0.80490395244472368</v>
      </c>
      <c r="N163">
        <v>0</v>
      </c>
      <c r="O163">
        <f t="shared" si="14"/>
        <v>1</v>
      </c>
    </row>
    <row r="164" spans="1:15" x14ac:dyDescent="0.6">
      <c r="A164">
        <v>20260208</v>
      </c>
      <c r="B164" t="s">
        <v>66</v>
      </c>
      <c r="C164" t="s">
        <v>24</v>
      </c>
      <c r="D164" t="s">
        <v>20</v>
      </c>
      <c r="E164">
        <v>12001</v>
      </c>
      <c r="F164">
        <v>7002</v>
      </c>
      <c r="G164">
        <v>47.53</v>
      </c>
      <c r="H164">
        <v>0.47528575446268551</v>
      </c>
      <c r="I164" t="s">
        <v>48</v>
      </c>
      <c r="J164">
        <f t="shared" si="10"/>
        <v>0.52471424553731449</v>
      </c>
      <c r="K164" t="str">
        <f t="shared" si="11"/>
        <v>50~55</v>
      </c>
      <c r="L164" t="str">
        <f t="shared" si="12"/>
        <v>AWAY</v>
      </c>
      <c r="M164">
        <f t="shared" si="13"/>
        <v>0.27532503946979314</v>
      </c>
      <c r="N164">
        <v>0</v>
      </c>
      <c r="O164">
        <f t="shared" si="14"/>
        <v>1</v>
      </c>
    </row>
    <row r="165" spans="1:15" x14ac:dyDescent="0.6">
      <c r="A165">
        <v>20260209</v>
      </c>
      <c r="B165" t="s">
        <v>66</v>
      </c>
      <c r="C165" t="s">
        <v>22</v>
      </c>
      <c r="D165" t="s">
        <v>21</v>
      </c>
      <c r="E165">
        <v>1001</v>
      </c>
      <c r="F165">
        <v>2002</v>
      </c>
      <c r="G165">
        <v>54.48</v>
      </c>
      <c r="H165">
        <v>0.54481118099037151</v>
      </c>
      <c r="I165" t="s">
        <v>48</v>
      </c>
      <c r="J165">
        <f t="shared" si="10"/>
        <v>0.54481118099037151</v>
      </c>
      <c r="K165" t="str">
        <f t="shared" si="11"/>
        <v>50~55</v>
      </c>
      <c r="L165" t="str">
        <f t="shared" si="12"/>
        <v>HOME</v>
      </c>
      <c r="M165">
        <f t="shared" si="13"/>
        <v>0.29681922293212337</v>
      </c>
      <c r="N165">
        <v>0</v>
      </c>
      <c r="O165">
        <f t="shared" si="14"/>
        <v>0</v>
      </c>
    </row>
    <row r="166" spans="1:15" x14ac:dyDescent="0.6">
      <c r="A166">
        <v>20260210</v>
      </c>
      <c r="B166" t="s">
        <v>66</v>
      </c>
      <c r="C166" t="s">
        <v>27</v>
      </c>
      <c r="D166" t="s">
        <v>17</v>
      </c>
      <c r="E166">
        <v>11001</v>
      </c>
      <c r="F166">
        <v>10001</v>
      </c>
      <c r="G166">
        <v>32.65</v>
      </c>
      <c r="H166">
        <v>0.32651681922754888</v>
      </c>
      <c r="I166" t="s">
        <v>48</v>
      </c>
      <c r="J166">
        <f t="shared" si="10"/>
        <v>0.67348318077245106</v>
      </c>
      <c r="K166" t="str">
        <f t="shared" si="11"/>
        <v>65~70</v>
      </c>
      <c r="L166" t="str">
        <f t="shared" si="12"/>
        <v>AWAY</v>
      </c>
      <c r="M166">
        <f t="shared" si="13"/>
        <v>0.453579594783378</v>
      </c>
      <c r="N166">
        <v>0</v>
      </c>
      <c r="O166">
        <f t="shared" si="14"/>
        <v>1</v>
      </c>
    </row>
    <row r="167" spans="1:15" x14ac:dyDescent="0.6">
      <c r="A167">
        <v>20260213</v>
      </c>
      <c r="B167" t="s">
        <v>67</v>
      </c>
      <c r="C167" t="s">
        <v>24</v>
      </c>
      <c r="D167" t="s">
        <v>20</v>
      </c>
      <c r="E167">
        <v>12001</v>
      </c>
      <c r="F167">
        <v>7002</v>
      </c>
      <c r="G167">
        <v>67.27</v>
      </c>
      <c r="H167">
        <v>0.67274732239759016</v>
      </c>
      <c r="I167" t="s">
        <v>48</v>
      </c>
      <c r="J167">
        <f t="shared" si="10"/>
        <v>0.67274732239759016</v>
      </c>
      <c r="K167" t="str">
        <f t="shared" si="11"/>
        <v>65~70</v>
      </c>
      <c r="L167" t="str">
        <f t="shared" si="12"/>
        <v>HOME</v>
      </c>
      <c r="M167">
        <f t="shared" si="13"/>
        <v>0.45258895979312713</v>
      </c>
      <c r="N167">
        <v>0</v>
      </c>
      <c r="O167">
        <f t="shared" si="14"/>
        <v>0</v>
      </c>
    </row>
    <row r="168" spans="1:15" x14ac:dyDescent="0.6">
      <c r="A168">
        <v>20260211</v>
      </c>
      <c r="B168" t="s">
        <v>67</v>
      </c>
      <c r="C168" t="s">
        <v>16</v>
      </c>
      <c r="D168" t="s">
        <v>23</v>
      </c>
      <c r="E168">
        <v>6002</v>
      </c>
      <c r="F168">
        <v>3001</v>
      </c>
      <c r="G168">
        <v>60.27</v>
      </c>
      <c r="H168">
        <v>0.60267201735313669</v>
      </c>
      <c r="I168" t="s">
        <v>48</v>
      </c>
      <c r="J168">
        <f t="shared" si="10"/>
        <v>0.60267201735313669</v>
      </c>
      <c r="K168" t="str">
        <f t="shared" si="11"/>
        <v>60~65</v>
      </c>
      <c r="L168" t="str">
        <f t="shared" si="12"/>
        <v>HOME</v>
      </c>
      <c r="M168">
        <f t="shared" si="13"/>
        <v>0.15786952579422611</v>
      </c>
      <c r="N168">
        <v>1</v>
      </c>
      <c r="O168">
        <f t="shared" si="14"/>
        <v>1</v>
      </c>
    </row>
    <row r="169" spans="1:15" x14ac:dyDescent="0.6">
      <c r="A169">
        <v>20260212</v>
      </c>
      <c r="B169" t="s">
        <v>67</v>
      </c>
      <c r="C169" t="s">
        <v>19</v>
      </c>
      <c r="D169" t="s">
        <v>28</v>
      </c>
      <c r="E169">
        <v>9002</v>
      </c>
      <c r="F169">
        <v>5002</v>
      </c>
      <c r="G169">
        <v>58.79</v>
      </c>
      <c r="H169">
        <v>0.58785835302055856</v>
      </c>
      <c r="I169" t="s">
        <v>48</v>
      </c>
      <c r="J169">
        <f t="shared" si="10"/>
        <v>0.58785835302055856</v>
      </c>
      <c r="K169" t="str">
        <f t="shared" si="11"/>
        <v>55~60</v>
      </c>
      <c r="L169" t="str">
        <f t="shared" si="12"/>
        <v>HOME</v>
      </c>
      <c r="M169">
        <f t="shared" si="13"/>
        <v>0.16986073717492653</v>
      </c>
      <c r="N169">
        <v>1</v>
      </c>
      <c r="O169">
        <f t="shared" si="14"/>
        <v>1</v>
      </c>
    </row>
    <row r="170" spans="1:15" x14ac:dyDescent="0.6">
      <c r="A170">
        <v>20260214</v>
      </c>
      <c r="B170" t="s">
        <v>67</v>
      </c>
      <c r="C170" t="s">
        <v>22</v>
      </c>
      <c r="D170" t="s">
        <v>21</v>
      </c>
      <c r="E170">
        <v>1001</v>
      </c>
      <c r="F170">
        <v>2002</v>
      </c>
      <c r="G170">
        <v>72.11</v>
      </c>
      <c r="H170">
        <v>0.72110880786864662</v>
      </c>
      <c r="I170" t="s">
        <v>48</v>
      </c>
      <c r="J170">
        <f t="shared" si="10"/>
        <v>0.72110880786864662</v>
      </c>
      <c r="K170" t="str">
        <f t="shared" si="11"/>
        <v>70~100</v>
      </c>
      <c r="L170" t="str">
        <f t="shared" si="12"/>
        <v>HOME</v>
      </c>
      <c r="M170">
        <f t="shared" si="13"/>
        <v>7.7780297048447467E-2</v>
      </c>
      <c r="N170">
        <v>1</v>
      </c>
      <c r="O170">
        <f t="shared" si="14"/>
        <v>1</v>
      </c>
    </row>
    <row r="171" spans="1:15" x14ac:dyDescent="0.6">
      <c r="A171">
        <v>20260215</v>
      </c>
      <c r="B171" t="s">
        <v>67</v>
      </c>
      <c r="C171" t="s">
        <v>27</v>
      </c>
      <c r="D171" t="s">
        <v>17</v>
      </c>
      <c r="E171">
        <v>11001</v>
      </c>
      <c r="F171">
        <v>10001</v>
      </c>
      <c r="G171">
        <v>41.03</v>
      </c>
      <c r="H171">
        <v>0.41032730732744632</v>
      </c>
      <c r="I171" t="s">
        <v>48</v>
      </c>
      <c r="J171">
        <f t="shared" si="10"/>
        <v>0.58967269267255373</v>
      </c>
      <c r="K171" t="str">
        <f t="shared" si="11"/>
        <v>55~60</v>
      </c>
      <c r="L171" t="str">
        <f t="shared" si="12"/>
        <v>AWAY</v>
      </c>
      <c r="M171">
        <f t="shared" si="13"/>
        <v>0.16836849913859253</v>
      </c>
      <c r="N171">
        <v>1</v>
      </c>
      <c r="O171">
        <f t="shared" si="14"/>
        <v>0</v>
      </c>
    </row>
    <row r="172" spans="1:15" x14ac:dyDescent="0.6">
      <c r="A172">
        <v>20260216</v>
      </c>
      <c r="B172" t="s">
        <v>68</v>
      </c>
      <c r="C172" t="s">
        <v>16</v>
      </c>
      <c r="D172" t="s">
        <v>23</v>
      </c>
      <c r="E172">
        <v>6002</v>
      </c>
      <c r="F172">
        <v>3001</v>
      </c>
      <c r="G172">
        <v>46.67</v>
      </c>
      <c r="H172">
        <v>0.46665887539685058</v>
      </c>
      <c r="I172" t="s">
        <v>48</v>
      </c>
      <c r="J172">
        <f t="shared" si="10"/>
        <v>0.53334112460314942</v>
      </c>
      <c r="K172" t="str">
        <f t="shared" si="11"/>
        <v>50~55</v>
      </c>
      <c r="L172" t="str">
        <f t="shared" si="12"/>
        <v>AWAY</v>
      </c>
      <c r="M172">
        <f t="shared" si="13"/>
        <v>0.21777050598665332</v>
      </c>
      <c r="N172">
        <v>1</v>
      </c>
      <c r="O172">
        <f t="shared" si="14"/>
        <v>0</v>
      </c>
    </row>
    <row r="173" spans="1:15" x14ac:dyDescent="0.6">
      <c r="A173">
        <v>20260217</v>
      </c>
      <c r="B173" t="s">
        <v>68</v>
      </c>
      <c r="C173" t="s">
        <v>19</v>
      </c>
      <c r="D173" t="s">
        <v>28</v>
      </c>
      <c r="E173">
        <v>9002</v>
      </c>
      <c r="F173">
        <v>5002</v>
      </c>
      <c r="G173">
        <v>50.49</v>
      </c>
      <c r="H173">
        <v>0.50489644679328838</v>
      </c>
      <c r="I173" t="s">
        <v>48</v>
      </c>
      <c r="J173">
        <f t="shared" si="10"/>
        <v>0.50489644679328838</v>
      </c>
      <c r="K173" t="str">
        <f t="shared" si="11"/>
        <v>50~55</v>
      </c>
      <c r="L173" t="str">
        <f t="shared" si="12"/>
        <v>HOME</v>
      </c>
      <c r="M173">
        <f t="shared" si="13"/>
        <v>0.25492042198448789</v>
      </c>
      <c r="N173">
        <v>0</v>
      </c>
      <c r="O173">
        <f t="shared" si="14"/>
        <v>0</v>
      </c>
    </row>
    <row r="174" spans="1:15" x14ac:dyDescent="0.6">
      <c r="A174">
        <v>20260218</v>
      </c>
      <c r="B174" t="s">
        <v>68</v>
      </c>
      <c r="C174" t="s">
        <v>24</v>
      </c>
      <c r="D174" t="s">
        <v>20</v>
      </c>
      <c r="E174">
        <v>12001</v>
      </c>
      <c r="F174">
        <v>7002</v>
      </c>
      <c r="G174">
        <v>28.02</v>
      </c>
      <c r="H174">
        <v>0.28015551487173168</v>
      </c>
      <c r="I174" t="s">
        <v>48</v>
      </c>
      <c r="J174">
        <f t="shared" si="10"/>
        <v>0.71984448512826837</v>
      </c>
      <c r="K174" t="str">
        <f t="shared" si="11"/>
        <v>70~100</v>
      </c>
      <c r="L174" t="str">
        <f t="shared" si="12"/>
        <v>AWAY</v>
      </c>
      <c r="M174">
        <f t="shared" si="13"/>
        <v>7.8487112513045035E-2</v>
      </c>
      <c r="N174">
        <v>1</v>
      </c>
      <c r="O174">
        <f t="shared" si="14"/>
        <v>0</v>
      </c>
    </row>
    <row r="175" spans="1:15" x14ac:dyDescent="0.6">
      <c r="A175">
        <v>20260219</v>
      </c>
      <c r="B175" t="s">
        <v>68</v>
      </c>
      <c r="C175" t="s">
        <v>22</v>
      </c>
      <c r="D175" t="s">
        <v>21</v>
      </c>
      <c r="E175">
        <v>1001</v>
      </c>
      <c r="F175">
        <v>2002</v>
      </c>
      <c r="G175">
        <v>73.64</v>
      </c>
      <c r="H175">
        <v>0.73644559344007476</v>
      </c>
      <c r="I175" t="s">
        <v>48</v>
      </c>
      <c r="J175">
        <f t="shared" si="10"/>
        <v>0.73644559344007476</v>
      </c>
      <c r="K175" t="str">
        <f t="shared" si="11"/>
        <v>70~100</v>
      </c>
      <c r="L175" t="str">
        <f t="shared" si="12"/>
        <v>HOME</v>
      </c>
      <c r="M175">
        <f t="shared" si="13"/>
        <v>0.54235211209730394</v>
      </c>
      <c r="N175">
        <v>0</v>
      </c>
      <c r="O175">
        <f t="shared" si="14"/>
        <v>0</v>
      </c>
    </row>
    <row r="176" spans="1:15" x14ac:dyDescent="0.6">
      <c r="A176">
        <v>20260220</v>
      </c>
      <c r="B176" t="s">
        <v>68</v>
      </c>
      <c r="C176" t="s">
        <v>27</v>
      </c>
      <c r="D176" t="s">
        <v>17</v>
      </c>
      <c r="E176">
        <v>11001</v>
      </c>
      <c r="F176">
        <v>10001</v>
      </c>
      <c r="G176">
        <v>56.37</v>
      </c>
      <c r="H176">
        <v>0.56368084858375045</v>
      </c>
      <c r="I176" t="s">
        <v>48</v>
      </c>
      <c r="J176">
        <f t="shared" si="10"/>
        <v>0.56368084858375045</v>
      </c>
      <c r="K176" t="str">
        <f t="shared" si="11"/>
        <v>55~60</v>
      </c>
      <c r="L176" t="str">
        <f t="shared" si="12"/>
        <v>HOME</v>
      </c>
      <c r="M176">
        <f t="shared" si="13"/>
        <v>0.31773609906009698</v>
      </c>
      <c r="N176">
        <v>0</v>
      </c>
      <c r="O176">
        <f t="shared" si="14"/>
        <v>0</v>
      </c>
    </row>
    <row r="177" spans="1:15" x14ac:dyDescent="0.6">
      <c r="A177">
        <v>20260221</v>
      </c>
      <c r="B177" t="s">
        <v>69</v>
      </c>
      <c r="C177" t="s">
        <v>16</v>
      </c>
      <c r="D177" t="s">
        <v>27</v>
      </c>
      <c r="E177">
        <v>6002</v>
      </c>
      <c r="F177">
        <v>11001</v>
      </c>
      <c r="G177">
        <v>64.540000000000006</v>
      </c>
      <c r="H177">
        <v>0.64541879325717844</v>
      </c>
      <c r="I177" t="s">
        <v>70</v>
      </c>
      <c r="J177">
        <f t="shared" si="10"/>
        <v>0.64541879325717844</v>
      </c>
      <c r="K177" t="str">
        <f t="shared" si="11"/>
        <v>60~65</v>
      </c>
      <c r="L177" t="str">
        <f t="shared" si="12"/>
        <v>HOME</v>
      </c>
      <c r="M177">
        <f t="shared" si="13"/>
        <v>0.12572783217519556</v>
      </c>
      <c r="N177">
        <v>1</v>
      </c>
      <c r="O177">
        <f t="shared" si="14"/>
        <v>1</v>
      </c>
    </row>
    <row r="178" spans="1:15" x14ac:dyDescent="0.6">
      <c r="A178">
        <v>20260222</v>
      </c>
      <c r="B178" t="s">
        <v>69</v>
      </c>
      <c r="C178" t="s">
        <v>17</v>
      </c>
      <c r="D178" t="s">
        <v>19</v>
      </c>
      <c r="E178">
        <v>10001</v>
      </c>
      <c r="F178">
        <v>9002</v>
      </c>
      <c r="G178">
        <v>69.17</v>
      </c>
      <c r="H178">
        <v>0.69166026389860746</v>
      </c>
      <c r="I178" t="s">
        <v>70</v>
      </c>
      <c r="J178">
        <f t="shared" si="10"/>
        <v>0.69166026389860746</v>
      </c>
      <c r="K178" t="str">
        <f t="shared" si="11"/>
        <v>65~70</v>
      </c>
      <c r="L178" t="str">
        <f t="shared" si="12"/>
        <v>HOME</v>
      </c>
      <c r="M178">
        <f t="shared" si="13"/>
        <v>9.5073392859076386E-2</v>
      </c>
      <c r="N178">
        <v>1</v>
      </c>
      <c r="O178">
        <f t="shared" si="14"/>
        <v>1</v>
      </c>
    </row>
    <row r="179" spans="1:15" x14ac:dyDescent="0.6">
      <c r="A179">
        <v>20260223</v>
      </c>
      <c r="B179" t="s">
        <v>69</v>
      </c>
      <c r="C179" t="s">
        <v>20</v>
      </c>
      <c r="D179" t="s">
        <v>23</v>
      </c>
      <c r="E179">
        <v>7002</v>
      </c>
      <c r="F179">
        <v>3001</v>
      </c>
      <c r="G179">
        <v>47.15</v>
      </c>
      <c r="H179">
        <v>0.47150279184270699</v>
      </c>
      <c r="I179" t="s">
        <v>70</v>
      </c>
      <c r="J179">
        <f t="shared" si="10"/>
        <v>0.52849720815729295</v>
      </c>
      <c r="K179" t="str">
        <f t="shared" si="11"/>
        <v>50~55</v>
      </c>
      <c r="L179" t="str">
        <f t="shared" si="12"/>
        <v>AWAY</v>
      </c>
      <c r="M179">
        <f t="shared" si="13"/>
        <v>0.27930929903005303</v>
      </c>
      <c r="N179">
        <v>0</v>
      </c>
      <c r="O179">
        <f t="shared" si="14"/>
        <v>1</v>
      </c>
    </row>
    <row r="180" spans="1:15" x14ac:dyDescent="0.6">
      <c r="A180">
        <v>20260224</v>
      </c>
      <c r="B180" t="s">
        <v>69</v>
      </c>
      <c r="C180" t="s">
        <v>22</v>
      </c>
      <c r="D180" t="s">
        <v>24</v>
      </c>
      <c r="E180">
        <v>1001</v>
      </c>
      <c r="F180">
        <v>12001</v>
      </c>
      <c r="G180">
        <v>47.87</v>
      </c>
      <c r="H180">
        <v>0.47871234193640388</v>
      </c>
      <c r="I180" t="s">
        <v>70</v>
      </c>
      <c r="J180">
        <f t="shared" si="10"/>
        <v>0.52128765806359612</v>
      </c>
      <c r="K180" t="str">
        <f t="shared" si="11"/>
        <v>50~55</v>
      </c>
      <c r="L180" t="str">
        <f t="shared" si="12"/>
        <v>AWAY</v>
      </c>
      <c r="M180">
        <f t="shared" si="13"/>
        <v>0.22916550632223648</v>
      </c>
      <c r="N180">
        <v>1</v>
      </c>
      <c r="O180">
        <f t="shared" si="14"/>
        <v>0</v>
      </c>
    </row>
    <row r="181" spans="1:15" x14ac:dyDescent="0.6">
      <c r="A181">
        <v>20260225</v>
      </c>
      <c r="B181" t="s">
        <v>69</v>
      </c>
      <c r="C181" t="s">
        <v>21</v>
      </c>
      <c r="D181" t="s">
        <v>28</v>
      </c>
      <c r="E181">
        <v>2002</v>
      </c>
      <c r="F181">
        <v>5002</v>
      </c>
      <c r="G181">
        <v>55.82</v>
      </c>
      <c r="H181">
        <v>0.55822530120292735</v>
      </c>
      <c r="I181" t="s">
        <v>70</v>
      </c>
      <c r="J181">
        <f t="shared" si="10"/>
        <v>0.55822530120292735</v>
      </c>
      <c r="K181" t="str">
        <f t="shared" si="11"/>
        <v>55~60</v>
      </c>
      <c r="L181" t="str">
        <f t="shared" si="12"/>
        <v>HOME</v>
      </c>
      <c r="M181">
        <f t="shared" si="13"/>
        <v>0.19516488449724426</v>
      </c>
      <c r="N181">
        <v>1</v>
      </c>
      <c r="O181">
        <f t="shared" si="14"/>
        <v>1</v>
      </c>
    </row>
    <row r="182" spans="1:15" x14ac:dyDescent="0.6">
      <c r="A182">
        <v>20260226</v>
      </c>
      <c r="B182" t="s">
        <v>71</v>
      </c>
      <c r="C182" t="s">
        <v>16</v>
      </c>
      <c r="D182" t="s">
        <v>27</v>
      </c>
      <c r="E182">
        <v>6002</v>
      </c>
      <c r="F182">
        <v>11001</v>
      </c>
      <c r="G182">
        <v>63.31</v>
      </c>
      <c r="H182">
        <v>0.63314900186722278</v>
      </c>
      <c r="I182" t="s">
        <v>70</v>
      </c>
      <c r="J182">
        <f t="shared" si="10"/>
        <v>0.63314900186722278</v>
      </c>
      <c r="K182" t="str">
        <f t="shared" si="11"/>
        <v>60~65</v>
      </c>
      <c r="L182" t="str">
        <f t="shared" si="12"/>
        <v>HOME</v>
      </c>
      <c r="M182" t="str">
        <f t="shared" si="13"/>
        <v/>
      </c>
      <c r="N182" t="s">
        <v>31</v>
      </c>
      <c r="O182" t="str">
        <f t="shared" si="14"/>
        <v/>
      </c>
    </row>
    <row r="183" spans="1:15" x14ac:dyDescent="0.6">
      <c r="A183">
        <v>20260227</v>
      </c>
      <c r="B183" t="s">
        <v>71</v>
      </c>
      <c r="C183" t="s">
        <v>17</v>
      </c>
      <c r="D183" t="s">
        <v>19</v>
      </c>
      <c r="E183">
        <v>10001</v>
      </c>
      <c r="F183">
        <v>9002</v>
      </c>
      <c r="G183">
        <v>56.84</v>
      </c>
      <c r="H183">
        <v>0.56835375928011256</v>
      </c>
      <c r="I183" t="s">
        <v>70</v>
      </c>
      <c r="J183">
        <f t="shared" si="10"/>
        <v>0.56835375928011256</v>
      </c>
      <c r="K183" t="str">
        <f t="shared" si="11"/>
        <v>55~60</v>
      </c>
      <c r="L183" t="str">
        <f t="shared" si="12"/>
        <v>HOME</v>
      </c>
      <c r="M183">
        <f t="shared" si="13"/>
        <v>0.18631847712761102</v>
      </c>
      <c r="N183">
        <v>1</v>
      </c>
      <c r="O183">
        <f t="shared" si="14"/>
        <v>1</v>
      </c>
    </row>
    <row r="184" spans="1:15" x14ac:dyDescent="0.6">
      <c r="A184">
        <v>20260228</v>
      </c>
      <c r="B184" t="s">
        <v>71</v>
      </c>
      <c r="C184" t="s">
        <v>20</v>
      </c>
      <c r="D184" t="s">
        <v>23</v>
      </c>
      <c r="E184">
        <v>7002</v>
      </c>
      <c r="F184">
        <v>3001</v>
      </c>
      <c r="G184">
        <v>50.47</v>
      </c>
      <c r="H184">
        <v>0.504656170161356</v>
      </c>
      <c r="I184" t="s">
        <v>70</v>
      </c>
      <c r="J184">
        <f t="shared" si="10"/>
        <v>0.504656170161356</v>
      </c>
      <c r="K184" t="str">
        <f t="shared" si="11"/>
        <v>50~55</v>
      </c>
      <c r="L184" t="str">
        <f t="shared" si="12"/>
        <v>HOME</v>
      </c>
      <c r="M184" t="str">
        <f t="shared" si="13"/>
        <v/>
      </c>
      <c r="N184" t="s">
        <v>31</v>
      </c>
      <c r="O184" t="str">
        <f t="shared" si="14"/>
        <v/>
      </c>
    </row>
    <row r="185" spans="1:15" x14ac:dyDescent="0.6">
      <c r="A185">
        <v>20260229</v>
      </c>
      <c r="B185" t="s">
        <v>71</v>
      </c>
      <c r="C185" t="s">
        <v>22</v>
      </c>
      <c r="D185" t="s">
        <v>24</v>
      </c>
      <c r="E185">
        <v>1001</v>
      </c>
      <c r="F185">
        <v>12001</v>
      </c>
      <c r="G185">
        <v>42.89</v>
      </c>
      <c r="H185">
        <v>0.42885993790232779</v>
      </c>
      <c r="I185" t="s">
        <v>70</v>
      </c>
      <c r="J185">
        <f t="shared" si="10"/>
        <v>0.57114006209767221</v>
      </c>
      <c r="K185" t="str">
        <f t="shared" si="11"/>
        <v>55~60</v>
      </c>
      <c r="L185" t="str">
        <f t="shared" si="12"/>
        <v>AWAY</v>
      </c>
      <c r="M185" t="str">
        <f t="shared" si="13"/>
        <v/>
      </c>
      <c r="N185" t="s">
        <v>31</v>
      </c>
      <c r="O185" t="str">
        <f t="shared" si="14"/>
        <v/>
      </c>
    </row>
    <row r="186" spans="1:15" x14ac:dyDescent="0.6">
      <c r="A186">
        <v>20260230</v>
      </c>
      <c r="B186" t="s">
        <v>71</v>
      </c>
      <c r="C186" t="s">
        <v>21</v>
      </c>
      <c r="D186" t="s">
        <v>28</v>
      </c>
      <c r="E186">
        <v>2002</v>
      </c>
      <c r="F186">
        <v>5002</v>
      </c>
      <c r="G186">
        <v>43.01</v>
      </c>
      <c r="H186">
        <v>0.43008823462332102</v>
      </c>
      <c r="I186" t="s">
        <v>70</v>
      </c>
      <c r="J186">
        <f t="shared" si="10"/>
        <v>0.56991176537667898</v>
      </c>
      <c r="K186" t="str">
        <f t="shared" si="11"/>
        <v>55~60</v>
      </c>
      <c r="L186" t="str">
        <f t="shared" si="12"/>
        <v>AWAY</v>
      </c>
      <c r="M186" t="str">
        <f t="shared" si="13"/>
        <v/>
      </c>
      <c r="N186" t="s">
        <v>31</v>
      </c>
      <c r="O186" t="str">
        <f t="shared" si="14"/>
        <v/>
      </c>
    </row>
    <row r="187" spans="1:15" x14ac:dyDescent="0.6">
      <c r="A187">
        <v>20260231</v>
      </c>
      <c r="B187" t="s">
        <v>72</v>
      </c>
      <c r="C187" t="s">
        <v>16</v>
      </c>
      <c r="D187" t="s">
        <v>27</v>
      </c>
      <c r="E187">
        <v>6002</v>
      </c>
      <c r="F187">
        <v>11001</v>
      </c>
      <c r="G187">
        <v>63.31</v>
      </c>
      <c r="H187">
        <v>0.633149786358988</v>
      </c>
      <c r="I187" t="s">
        <v>70</v>
      </c>
      <c r="J187">
        <f t="shared" si="10"/>
        <v>0.633149786358988</v>
      </c>
      <c r="K187" t="str">
        <f t="shared" si="11"/>
        <v>60~65</v>
      </c>
      <c r="L187" t="str">
        <f t="shared" si="12"/>
        <v>HOME</v>
      </c>
      <c r="M187">
        <f t="shared" si="13"/>
        <v>0.13457907924845613</v>
      </c>
      <c r="N187">
        <v>1</v>
      </c>
      <c r="O187">
        <f t="shared" si="14"/>
        <v>1</v>
      </c>
    </row>
    <row r="188" spans="1:15" x14ac:dyDescent="0.6">
      <c r="A188">
        <v>20260232</v>
      </c>
      <c r="B188" t="s">
        <v>72</v>
      </c>
      <c r="C188" t="s">
        <v>17</v>
      </c>
      <c r="D188" t="s">
        <v>19</v>
      </c>
      <c r="E188">
        <v>10001</v>
      </c>
      <c r="F188">
        <v>9002</v>
      </c>
      <c r="G188">
        <v>75.739999999999995</v>
      </c>
      <c r="H188">
        <v>0.75740526196817082</v>
      </c>
      <c r="I188" t="s">
        <v>70</v>
      </c>
      <c r="J188">
        <f t="shared" si="10"/>
        <v>0.75740526196817082</v>
      </c>
      <c r="K188" t="str">
        <f t="shared" si="11"/>
        <v>70~100</v>
      </c>
      <c r="L188" t="str">
        <f t="shared" si="12"/>
        <v>HOME</v>
      </c>
      <c r="M188">
        <f t="shared" si="13"/>
        <v>5.8852206920731828E-2</v>
      </c>
      <c r="N188">
        <v>1</v>
      </c>
      <c r="O188">
        <f t="shared" si="14"/>
        <v>1</v>
      </c>
    </row>
    <row r="189" spans="1:15" x14ac:dyDescent="0.6">
      <c r="A189">
        <v>20260233</v>
      </c>
      <c r="B189" t="s">
        <v>72</v>
      </c>
      <c r="C189" t="s">
        <v>20</v>
      </c>
      <c r="D189" t="s">
        <v>23</v>
      </c>
      <c r="E189">
        <v>7002</v>
      </c>
      <c r="F189">
        <v>3001</v>
      </c>
      <c r="G189">
        <v>50.47</v>
      </c>
      <c r="H189">
        <v>0.50465532586424189</v>
      </c>
      <c r="I189" t="s">
        <v>70</v>
      </c>
      <c r="J189">
        <f t="shared" si="10"/>
        <v>0.50465532586424189</v>
      </c>
      <c r="K189" t="str">
        <f t="shared" si="11"/>
        <v>50~55</v>
      </c>
      <c r="L189" t="str">
        <f t="shared" si="12"/>
        <v>HOME</v>
      </c>
      <c r="M189">
        <f t="shared" si="13"/>
        <v>0.25467699792314419</v>
      </c>
      <c r="N189">
        <v>0</v>
      </c>
      <c r="O189">
        <f t="shared" si="14"/>
        <v>0</v>
      </c>
    </row>
    <row r="190" spans="1:15" x14ac:dyDescent="0.6">
      <c r="A190">
        <v>20260234</v>
      </c>
      <c r="B190" t="s">
        <v>72</v>
      </c>
      <c r="C190" t="s">
        <v>22</v>
      </c>
      <c r="D190" t="s">
        <v>24</v>
      </c>
      <c r="E190">
        <v>1001</v>
      </c>
      <c r="F190">
        <v>12001</v>
      </c>
      <c r="G190">
        <v>49.92</v>
      </c>
      <c r="H190">
        <v>0.49922320700982609</v>
      </c>
      <c r="I190" t="s">
        <v>70</v>
      </c>
      <c r="J190">
        <f t="shared" si="10"/>
        <v>0.50077679299017386</v>
      </c>
      <c r="K190" t="str">
        <f t="shared" si="11"/>
        <v>50~55</v>
      </c>
      <c r="L190" t="str">
        <f t="shared" si="12"/>
        <v>AWAY</v>
      </c>
      <c r="M190">
        <f t="shared" si="13"/>
        <v>0.24922381041717573</v>
      </c>
      <c r="N190">
        <v>1</v>
      </c>
      <c r="O190">
        <f t="shared" si="14"/>
        <v>0</v>
      </c>
    </row>
    <row r="191" spans="1:15" x14ac:dyDescent="0.6">
      <c r="A191">
        <v>20260235</v>
      </c>
      <c r="B191" t="s">
        <v>72</v>
      </c>
      <c r="C191" t="s">
        <v>21</v>
      </c>
      <c r="D191" t="s">
        <v>28</v>
      </c>
      <c r="E191">
        <v>2002</v>
      </c>
      <c r="F191">
        <v>5002</v>
      </c>
      <c r="G191">
        <v>58.24</v>
      </c>
      <c r="H191">
        <v>0.58241364021158204</v>
      </c>
      <c r="I191" t="s">
        <v>70</v>
      </c>
      <c r="J191">
        <f t="shared" si="10"/>
        <v>0.58241364021158204</v>
      </c>
      <c r="K191" t="str">
        <f t="shared" si="11"/>
        <v>55~60</v>
      </c>
      <c r="L191" t="str">
        <f t="shared" si="12"/>
        <v>HOME</v>
      </c>
      <c r="M191">
        <f t="shared" si="13"/>
        <v>0.33920564830450611</v>
      </c>
      <c r="N191">
        <v>0</v>
      </c>
      <c r="O191">
        <f t="shared" si="14"/>
        <v>0</v>
      </c>
    </row>
    <row r="192" spans="1:15" x14ac:dyDescent="0.6">
      <c r="A192">
        <v>20260236</v>
      </c>
      <c r="B192" t="s">
        <v>73</v>
      </c>
      <c r="C192" t="s">
        <v>28</v>
      </c>
      <c r="D192" t="s">
        <v>17</v>
      </c>
      <c r="E192">
        <v>5002</v>
      </c>
      <c r="F192">
        <v>10001</v>
      </c>
      <c r="G192">
        <v>46.22</v>
      </c>
      <c r="H192">
        <v>0.46219250246419458</v>
      </c>
      <c r="I192" t="s">
        <v>70</v>
      </c>
      <c r="J192">
        <f t="shared" si="10"/>
        <v>0.53780749753580537</v>
      </c>
      <c r="K192" t="str">
        <f t="shared" si="11"/>
        <v>50~55</v>
      </c>
      <c r="L192" t="str">
        <f t="shared" si="12"/>
        <v>AWAY</v>
      </c>
      <c r="M192">
        <f t="shared" si="13"/>
        <v>0.2892369044057253</v>
      </c>
      <c r="N192">
        <v>0</v>
      </c>
      <c r="O192">
        <f t="shared" si="14"/>
        <v>1</v>
      </c>
    </row>
    <row r="193" spans="1:15" x14ac:dyDescent="0.6">
      <c r="A193">
        <v>20260237</v>
      </c>
      <c r="B193" t="s">
        <v>73</v>
      </c>
      <c r="C193" t="s">
        <v>24</v>
      </c>
      <c r="D193" t="s">
        <v>27</v>
      </c>
      <c r="E193">
        <v>12001</v>
      </c>
      <c r="F193">
        <v>11001</v>
      </c>
      <c r="G193">
        <v>36.630000000000003</v>
      </c>
      <c r="H193">
        <v>0.36625823870451951</v>
      </c>
      <c r="I193" t="s">
        <v>70</v>
      </c>
      <c r="J193">
        <f t="shared" si="10"/>
        <v>0.63374176129548054</v>
      </c>
      <c r="K193" t="str">
        <f t="shared" si="11"/>
        <v>60~65</v>
      </c>
      <c r="L193" t="str">
        <f t="shared" si="12"/>
        <v>AWAY</v>
      </c>
      <c r="M193">
        <f t="shared" si="13"/>
        <v>0.13414509741893677</v>
      </c>
      <c r="N193">
        <v>1</v>
      </c>
      <c r="O193">
        <f t="shared" si="14"/>
        <v>0</v>
      </c>
    </row>
    <row r="194" spans="1:15" x14ac:dyDescent="0.6">
      <c r="A194">
        <v>20260238</v>
      </c>
      <c r="B194" t="s">
        <v>73</v>
      </c>
      <c r="C194" t="s">
        <v>20</v>
      </c>
      <c r="D194" t="s">
        <v>16</v>
      </c>
      <c r="E194">
        <v>7002</v>
      </c>
      <c r="F194">
        <v>6002</v>
      </c>
      <c r="G194">
        <v>45.68</v>
      </c>
      <c r="H194">
        <v>0.45684360697991783</v>
      </c>
      <c r="I194" t="s">
        <v>70</v>
      </c>
      <c r="J194">
        <f t="shared" ref="J194:J257" si="15">MAX(H194,1-H194)</f>
        <v>0.54315639302008223</v>
      </c>
      <c r="K194" t="str">
        <f t="shared" ref="K194:K257" si="16">_xlfn.IFS(
J194&lt;=0.55,"50~55",
J194&lt;=0.6,"55~60",
J194&lt;=0.65,"60~65",
J194&lt;=0.7,"65~70",
TRUE,"70~100"
)</f>
        <v>50~55</v>
      </c>
      <c r="L194" t="str">
        <f t="shared" ref="L194:L257" si="17">IF(H194&gt;=0.5,"HOME","AWAY")</f>
        <v>AWAY</v>
      </c>
      <c r="M194">
        <f t="shared" ref="M194:M257" si="18">IF(AND(N194&lt;&gt;"", OR(N194=0, N194=1)), (J194-N194)^2, "")</f>
        <v>0.20870608123842158</v>
      </c>
      <c r="N194">
        <v>1</v>
      </c>
      <c r="O194">
        <f t="shared" ref="O194:O257" si="19">IF(AND(N194&lt;&gt;"", OR(N194=0, N194=1)), IF(ROUND(H194,0)=N194, 1, 0), "")</f>
        <v>0</v>
      </c>
    </row>
    <row r="195" spans="1:15" x14ac:dyDescent="0.6">
      <c r="A195">
        <v>20260239</v>
      </c>
      <c r="B195" t="s">
        <v>73</v>
      </c>
      <c r="C195" t="s">
        <v>21</v>
      </c>
      <c r="D195" t="s">
        <v>19</v>
      </c>
      <c r="E195">
        <v>2002</v>
      </c>
      <c r="F195">
        <v>9002</v>
      </c>
      <c r="G195">
        <v>51.29</v>
      </c>
      <c r="H195">
        <v>0.5128556736512051</v>
      </c>
      <c r="I195" t="s">
        <v>70</v>
      </c>
      <c r="J195">
        <f t="shared" si="15"/>
        <v>0.5128556736512051</v>
      </c>
      <c r="K195" t="str">
        <f t="shared" si="16"/>
        <v>50~55</v>
      </c>
      <c r="L195" t="str">
        <f t="shared" si="17"/>
        <v>HOME</v>
      </c>
      <c r="M195">
        <f t="shared" si="18"/>
        <v>0.23730959469382118</v>
      </c>
      <c r="N195">
        <v>1</v>
      </c>
      <c r="O195">
        <f t="shared" si="19"/>
        <v>1</v>
      </c>
    </row>
    <row r="196" spans="1:15" x14ac:dyDescent="0.6">
      <c r="A196">
        <v>20260240</v>
      </c>
      <c r="B196" t="s">
        <v>73</v>
      </c>
      <c r="C196" t="s">
        <v>23</v>
      </c>
      <c r="D196" t="s">
        <v>22</v>
      </c>
      <c r="E196">
        <v>3001</v>
      </c>
      <c r="F196">
        <v>1001</v>
      </c>
      <c r="G196">
        <v>46.47</v>
      </c>
      <c r="H196">
        <v>0.46468082497436769</v>
      </c>
      <c r="I196" t="s">
        <v>70</v>
      </c>
      <c r="J196">
        <f t="shared" si="15"/>
        <v>0.53531917502563231</v>
      </c>
      <c r="K196" t="str">
        <f t="shared" si="16"/>
        <v>50~55</v>
      </c>
      <c r="L196" t="str">
        <f t="shared" si="17"/>
        <v>AWAY</v>
      </c>
      <c r="M196">
        <f t="shared" si="18"/>
        <v>0.28656661915012355</v>
      </c>
      <c r="N196">
        <v>0</v>
      </c>
      <c r="O196">
        <f t="shared" si="19"/>
        <v>1</v>
      </c>
    </row>
    <row r="197" spans="1:15" x14ac:dyDescent="0.6">
      <c r="A197">
        <v>20260241</v>
      </c>
      <c r="B197" t="s">
        <v>74</v>
      </c>
      <c r="C197" t="s">
        <v>28</v>
      </c>
      <c r="D197" t="s">
        <v>17</v>
      </c>
      <c r="E197">
        <v>5002</v>
      </c>
      <c r="F197">
        <v>10001</v>
      </c>
      <c r="G197">
        <v>43.37</v>
      </c>
      <c r="H197">
        <v>0.43367318194427112</v>
      </c>
      <c r="I197" t="s">
        <v>70</v>
      </c>
      <c r="J197">
        <f t="shared" si="15"/>
        <v>0.56632681805572882</v>
      </c>
      <c r="K197" t="str">
        <f t="shared" si="16"/>
        <v>55~60</v>
      </c>
      <c r="L197" t="str">
        <f t="shared" si="17"/>
        <v>AWAY</v>
      </c>
      <c r="M197">
        <f t="shared" si="18"/>
        <v>0.18807242873766894</v>
      </c>
      <c r="N197">
        <v>1</v>
      </c>
      <c r="O197">
        <f t="shared" si="19"/>
        <v>0</v>
      </c>
    </row>
    <row r="198" spans="1:15" x14ac:dyDescent="0.6">
      <c r="A198">
        <v>20260242</v>
      </c>
      <c r="B198" t="s">
        <v>74</v>
      </c>
      <c r="C198" t="s">
        <v>24</v>
      </c>
      <c r="D198" t="s">
        <v>27</v>
      </c>
      <c r="E198">
        <v>12001</v>
      </c>
      <c r="F198">
        <v>11001</v>
      </c>
      <c r="G198">
        <v>46.58</v>
      </c>
      <c r="H198">
        <v>0.46576015587692088</v>
      </c>
      <c r="I198" t="s">
        <v>70</v>
      </c>
      <c r="J198">
        <f t="shared" si="15"/>
        <v>0.53423984412307912</v>
      </c>
      <c r="K198" t="str">
        <f t="shared" si="16"/>
        <v>50~55</v>
      </c>
      <c r="L198" t="str">
        <f t="shared" si="17"/>
        <v>AWAY</v>
      </c>
      <c r="M198">
        <f t="shared" si="18"/>
        <v>0.21693252280249364</v>
      </c>
      <c r="N198">
        <v>1</v>
      </c>
      <c r="O198">
        <f t="shared" si="19"/>
        <v>0</v>
      </c>
    </row>
    <row r="199" spans="1:15" x14ac:dyDescent="0.6">
      <c r="A199">
        <v>20260243</v>
      </c>
      <c r="B199" t="s">
        <v>74</v>
      </c>
      <c r="C199" t="s">
        <v>20</v>
      </c>
      <c r="D199" t="s">
        <v>16</v>
      </c>
      <c r="E199">
        <v>7002</v>
      </c>
      <c r="F199">
        <v>6002</v>
      </c>
      <c r="G199">
        <v>52.76</v>
      </c>
      <c r="H199">
        <v>0.52762040797043308</v>
      </c>
      <c r="I199" t="s">
        <v>70</v>
      </c>
      <c r="J199">
        <f t="shared" si="15"/>
        <v>0.52762040797043308</v>
      </c>
      <c r="K199" t="str">
        <f t="shared" si="16"/>
        <v>50~55</v>
      </c>
      <c r="L199" t="str">
        <f t="shared" si="17"/>
        <v>HOME</v>
      </c>
      <c r="M199">
        <f t="shared" si="18"/>
        <v>0.22314247896602007</v>
      </c>
      <c r="N199">
        <v>1</v>
      </c>
      <c r="O199">
        <f t="shared" si="19"/>
        <v>1</v>
      </c>
    </row>
    <row r="200" spans="1:15" x14ac:dyDescent="0.6">
      <c r="A200">
        <v>20260244</v>
      </c>
      <c r="B200" t="s">
        <v>74</v>
      </c>
      <c r="C200" t="s">
        <v>21</v>
      </c>
      <c r="D200" t="s">
        <v>19</v>
      </c>
      <c r="E200">
        <v>2002</v>
      </c>
      <c r="F200">
        <v>9002</v>
      </c>
      <c r="G200">
        <v>51.48</v>
      </c>
      <c r="H200">
        <v>0.51483808378101581</v>
      </c>
      <c r="I200" t="s">
        <v>70</v>
      </c>
      <c r="J200">
        <f t="shared" si="15"/>
        <v>0.51483808378101581</v>
      </c>
      <c r="K200" t="str">
        <f t="shared" si="16"/>
        <v>50~55</v>
      </c>
      <c r="L200" t="str">
        <f t="shared" si="17"/>
        <v>HOME</v>
      </c>
      <c r="M200">
        <f t="shared" si="18"/>
        <v>0.23538208494927665</v>
      </c>
      <c r="N200">
        <v>1</v>
      </c>
      <c r="O200">
        <f t="shared" si="19"/>
        <v>1</v>
      </c>
    </row>
    <row r="201" spans="1:15" x14ac:dyDescent="0.6">
      <c r="A201">
        <v>20260245</v>
      </c>
      <c r="B201" t="s">
        <v>74</v>
      </c>
      <c r="C201" t="s">
        <v>23</v>
      </c>
      <c r="D201" t="s">
        <v>22</v>
      </c>
      <c r="E201">
        <v>3001</v>
      </c>
      <c r="F201">
        <v>1001</v>
      </c>
      <c r="G201">
        <v>43.71</v>
      </c>
      <c r="H201">
        <v>0.43714420964798878</v>
      </c>
      <c r="I201" t="s">
        <v>70</v>
      </c>
      <c r="J201">
        <f t="shared" si="15"/>
        <v>0.56285579035201128</v>
      </c>
      <c r="K201" t="str">
        <f t="shared" si="16"/>
        <v>55~60</v>
      </c>
      <c r="L201" t="str">
        <f t="shared" si="17"/>
        <v>AWAY</v>
      </c>
      <c r="M201">
        <f t="shared" si="18"/>
        <v>0.19109506002876472</v>
      </c>
      <c r="N201">
        <v>1</v>
      </c>
      <c r="O201">
        <f t="shared" si="19"/>
        <v>0</v>
      </c>
    </row>
    <row r="202" spans="1:15" x14ac:dyDescent="0.6">
      <c r="A202">
        <v>20260246</v>
      </c>
      <c r="B202" t="s">
        <v>75</v>
      </c>
      <c r="C202" t="s">
        <v>28</v>
      </c>
      <c r="D202" t="s">
        <v>17</v>
      </c>
      <c r="E202">
        <v>5002</v>
      </c>
      <c r="F202">
        <v>10001</v>
      </c>
      <c r="G202">
        <v>38.380000000000003</v>
      </c>
      <c r="H202">
        <v>0.38378334890491328</v>
      </c>
      <c r="I202" t="s">
        <v>70</v>
      </c>
      <c r="J202">
        <f t="shared" si="15"/>
        <v>0.61621665109508672</v>
      </c>
      <c r="K202" t="str">
        <f t="shared" si="16"/>
        <v>60~65</v>
      </c>
      <c r="L202" t="str">
        <f t="shared" si="17"/>
        <v>AWAY</v>
      </c>
      <c r="M202">
        <f t="shared" si="18"/>
        <v>0.14728965889667039</v>
      </c>
      <c r="N202">
        <v>1</v>
      </c>
      <c r="O202">
        <f t="shared" si="19"/>
        <v>0</v>
      </c>
    </row>
    <row r="203" spans="1:15" x14ac:dyDescent="0.6">
      <c r="A203">
        <v>20260247</v>
      </c>
      <c r="B203" t="s">
        <v>75</v>
      </c>
      <c r="C203" t="s">
        <v>24</v>
      </c>
      <c r="D203" t="s">
        <v>27</v>
      </c>
      <c r="E203">
        <v>12001</v>
      </c>
      <c r="F203">
        <v>11001</v>
      </c>
      <c r="G203">
        <v>44.14</v>
      </c>
      <c r="H203">
        <v>0.44144291926583429</v>
      </c>
      <c r="I203" t="s">
        <v>70</v>
      </c>
      <c r="J203">
        <f t="shared" si="15"/>
        <v>0.55855708073416577</v>
      </c>
      <c r="K203" t="str">
        <f t="shared" si="16"/>
        <v>55~60</v>
      </c>
      <c r="L203" t="str">
        <f t="shared" si="17"/>
        <v>AWAY</v>
      </c>
      <c r="M203">
        <f t="shared" si="18"/>
        <v>0.3119860124382734</v>
      </c>
      <c r="N203">
        <v>0</v>
      </c>
      <c r="O203">
        <f t="shared" si="19"/>
        <v>1</v>
      </c>
    </row>
    <row r="204" spans="1:15" x14ac:dyDescent="0.6">
      <c r="A204">
        <v>20260248</v>
      </c>
      <c r="B204" t="s">
        <v>75</v>
      </c>
      <c r="C204" t="s">
        <v>20</v>
      </c>
      <c r="D204" t="s">
        <v>16</v>
      </c>
      <c r="E204">
        <v>7002</v>
      </c>
      <c r="F204">
        <v>6002</v>
      </c>
      <c r="G204">
        <v>58.62</v>
      </c>
      <c r="H204">
        <v>0.58619496472660004</v>
      </c>
      <c r="I204" t="s">
        <v>70</v>
      </c>
      <c r="J204">
        <f t="shared" si="15"/>
        <v>0.58619496472660004</v>
      </c>
      <c r="K204" t="str">
        <f t="shared" si="16"/>
        <v>55~60</v>
      </c>
      <c r="L204" t="str">
        <f t="shared" si="17"/>
        <v>HOME</v>
      </c>
      <c r="M204">
        <f t="shared" si="18"/>
        <v>0.17123460721761979</v>
      </c>
      <c r="N204">
        <v>1</v>
      </c>
      <c r="O204">
        <f t="shared" si="19"/>
        <v>1</v>
      </c>
    </row>
    <row r="205" spans="1:15" x14ac:dyDescent="0.6">
      <c r="A205">
        <v>20260249</v>
      </c>
      <c r="B205" t="s">
        <v>75</v>
      </c>
      <c r="C205" t="s">
        <v>21</v>
      </c>
      <c r="D205" t="s">
        <v>19</v>
      </c>
      <c r="E205">
        <v>2002</v>
      </c>
      <c r="F205">
        <v>9002</v>
      </c>
      <c r="G205">
        <v>76.319999999999993</v>
      </c>
      <c r="H205">
        <v>0.76316035195787568</v>
      </c>
      <c r="I205" t="s">
        <v>70</v>
      </c>
      <c r="J205">
        <f t="shared" si="15"/>
        <v>0.76316035195787568</v>
      </c>
      <c r="K205" t="str">
        <f t="shared" si="16"/>
        <v>70~100</v>
      </c>
      <c r="L205" t="str">
        <f t="shared" si="17"/>
        <v>HOME</v>
      </c>
      <c r="M205">
        <f t="shared" si="18"/>
        <v>5.6093018884717322E-2</v>
      </c>
      <c r="N205">
        <v>1</v>
      </c>
      <c r="O205">
        <f t="shared" si="19"/>
        <v>1</v>
      </c>
    </row>
    <row r="206" spans="1:15" x14ac:dyDescent="0.6">
      <c r="A206">
        <v>20260250</v>
      </c>
      <c r="B206" t="s">
        <v>75</v>
      </c>
      <c r="C206" t="s">
        <v>23</v>
      </c>
      <c r="D206" t="s">
        <v>22</v>
      </c>
      <c r="E206">
        <v>3001</v>
      </c>
      <c r="F206">
        <v>1001</v>
      </c>
      <c r="G206">
        <v>50.72</v>
      </c>
      <c r="H206">
        <v>0.50724439026908807</v>
      </c>
      <c r="I206" t="s">
        <v>70</v>
      </c>
      <c r="J206">
        <f t="shared" si="15"/>
        <v>0.50724439026908807</v>
      </c>
      <c r="K206" t="str">
        <f t="shared" si="16"/>
        <v>50~55</v>
      </c>
      <c r="L206" t="str">
        <f t="shared" si="17"/>
        <v>HOME</v>
      </c>
      <c r="M206">
        <f t="shared" si="18"/>
        <v>0.25729687145945895</v>
      </c>
      <c r="N206">
        <v>0</v>
      </c>
      <c r="O206">
        <f t="shared" si="19"/>
        <v>0</v>
      </c>
    </row>
    <row r="207" spans="1:15" x14ac:dyDescent="0.6">
      <c r="A207">
        <v>20260251</v>
      </c>
      <c r="B207" t="s">
        <v>76</v>
      </c>
      <c r="C207" t="s">
        <v>16</v>
      </c>
      <c r="D207" t="s">
        <v>24</v>
      </c>
      <c r="E207">
        <v>6002</v>
      </c>
      <c r="F207">
        <v>12001</v>
      </c>
      <c r="G207">
        <v>57</v>
      </c>
      <c r="H207">
        <v>0.57000601915238747</v>
      </c>
      <c r="I207" t="s">
        <v>70</v>
      </c>
      <c r="J207">
        <f t="shared" si="15"/>
        <v>0.57000601915238747</v>
      </c>
      <c r="K207" t="str">
        <f t="shared" si="16"/>
        <v>55~60</v>
      </c>
      <c r="L207" t="str">
        <f t="shared" si="17"/>
        <v>HOME</v>
      </c>
      <c r="M207">
        <f t="shared" si="18"/>
        <v>0.32490686186995188</v>
      </c>
      <c r="N207">
        <v>0</v>
      </c>
      <c r="O207">
        <f t="shared" si="19"/>
        <v>0</v>
      </c>
    </row>
    <row r="208" spans="1:15" x14ac:dyDescent="0.6">
      <c r="A208">
        <v>20260252</v>
      </c>
      <c r="B208" t="s">
        <v>76</v>
      </c>
      <c r="C208" t="s">
        <v>17</v>
      </c>
      <c r="D208" t="s">
        <v>21</v>
      </c>
      <c r="E208">
        <v>10001</v>
      </c>
      <c r="F208">
        <v>2002</v>
      </c>
      <c r="G208">
        <v>83.2</v>
      </c>
      <c r="H208">
        <v>0.83199066960898471</v>
      </c>
      <c r="I208" t="s">
        <v>70</v>
      </c>
      <c r="J208">
        <f t="shared" si="15"/>
        <v>0.83199066960898471</v>
      </c>
      <c r="K208" t="str">
        <f t="shared" si="16"/>
        <v>70~100</v>
      </c>
      <c r="L208" t="str">
        <f t="shared" si="17"/>
        <v>HOME</v>
      </c>
      <c r="M208">
        <f t="shared" si="18"/>
        <v>0.69220847431640675</v>
      </c>
      <c r="N208">
        <v>0</v>
      </c>
      <c r="O208">
        <f t="shared" si="19"/>
        <v>0</v>
      </c>
    </row>
    <row r="209" spans="1:15" x14ac:dyDescent="0.6">
      <c r="A209">
        <v>20260253</v>
      </c>
      <c r="B209" t="s">
        <v>76</v>
      </c>
      <c r="C209" t="s">
        <v>19</v>
      </c>
      <c r="D209" t="s">
        <v>22</v>
      </c>
      <c r="E209">
        <v>9002</v>
      </c>
      <c r="F209">
        <v>1001</v>
      </c>
      <c r="G209">
        <v>30.97</v>
      </c>
      <c r="H209">
        <v>0.30968607412305132</v>
      </c>
      <c r="I209" t="s">
        <v>70</v>
      </c>
      <c r="J209">
        <f t="shared" si="15"/>
        <v>0.69031392587694862</v>
      </c>
      <c r="K209" t="str">
        <f t="shared" si="16"/>
        <v>65~70</v>
      </c>
      <c r="L209" t="str">
        <f t="shared" si="17"/>
        <v>AWAY</v>
      </c>
      <c r="M209" t="str">
        <f t="shared" si="18"/>
        <v/>
      </c>
      <c r="N209" t="s">
        <v>31</v>
      </c>
      <c r="O209" t="str">
        <f t="shared" si="19"/>
        <v/>
      </c>
    </row>
    <row r="210" spans="1:15" x14ac:dyDescent="0.6">
      <c r="A210">
        <v>20260254</v>
      </c>
      <c r="B210" t="s">
        <v>76</v>
      </c>
      <c r="C210" t="s">
        <v>23</v>
      </c>
      <c r="D210" t="s">
        <v>28</v>
      </c>
      <c r="E210">
        <v>3001</v>
      </c>
      <c r="F210">
        <v>5002</v>
      </c>
      <c r="G210">
        <v>53.44</v>
      </c>
      <c r="H210">
        <v>0.53441269732836494</v>
      </c>
      <c r="I210" t="s">
        <v>70</v>
      </c>
      <c r="J210">
        <f t="shared" si="15"/>
        <v>0.53441269732836494</v>
      </c>
      <c r="K210" t="str">
        <f t="shared" si="16"/>
        <v>50~55</v>
      </c>
      <c r="L210" t="str">
        <f t="shared" si="17"/>
        <v>HOME</v>
      </c>
      <c r="M210">
        <f t="shared" si="18"/>
        <v>0.2855969310657786</v>
      </c>
      <c r="N210">
        <v>0</v>
      </c>
      <c r="O210">
        <f t="shared" si="19"/>
        <v>0</v>
      </c>
    </row>
    <row r="211" spans="1:15" x14ac:dyDescent="0.6">
      <c r="A211">
        <v>20260255</v>
      </c>
      <c r="B211" t="s">
        <v>76</v>
      </c>
      <c r="C211" t="s">
        <v>27</v>
      </c>
      <c r="D211" t="s">
        <v>20</v>
      </c>
      <c r="E211">
        <v>11001</v>
      </c>
      <c r="F211">
        <v>7002</v>
      </c>
      <c r="G211">
        <v>42.96</v>
      </c>
      <c r="H211">
        <v>0.42957927838764609</v>
      </c>
      <c r="I211" t="s">
        <v>70</v>
      </c>
      <c r="J211">
        <f t="shared" si="15"/>
        <v>0.57042072161235391</v>
      </c>
      <c r="K211" t="str">
        <f t="shared" si="16"/>
        <v>55~60</v>
      </c>
      <c r="L211" t="str">
        <f t="shared" si="17"/>
        <v>AWAY</v>
      </c>
      <c r="M211" t="str">
        <f t="shared" si="18"/>
        <v/>
      </c>
      <c r="N211" t="s">
        <v>31</v>
      </c>
      <c r="O211" t="str">
        <f t="shared" si="19"/>
        <v/>
      </c>
    </row>
    <row r="212" spans="1:15" x14ac:dyDescent="0.6">
      <c r="A212">
        <v>20260256</v>
      </c>
      <c r="B212" t="s">
        <v>77</v>
      </c>
      <c r="C212" t="s">
        <v>16</v>
      </c>
      <c r="D212" t="s">
        <v>24</v>
      </c>
      <c r="E212">
        <v>6002</v>
      </c>
      <c r="F212">
        <v>12001</v>
      </c>
      <c r="G212">
        <v>42.24</v>
      </c>
      <c r="H212">
        <v>0.42239761089530892</v>
      </c>
      <c r="I212" t="s">
        <v>78</v>
      </c>
      <c r="J212">
        <f t="shared" si="15"/>
        <v>0.57760238910469108</v>
      </c>
      <c r="K212" t="str">
        <f t="shared" si="16"/>
        <v>55~60</v>
      </c>
      <c r="L212" t="str">
        <f t="shared" si="17"/>
        <v>AWAY</v>
      </c>
      <c r="M212">
        <f t="shared" si="18"/>
        <v>0.1784197416900648</v>
      </c>
      <c r="N212">
        <v>1</v>
      </c>
      <c r="O212">
        <f t="shared" si="19"/>
        <v>0</v>
      </c>
    </row>
    <row r="213" spans="1:15" x14ac:dyDescent="0.6">
      <c r="A213">
        <v>20260257</v>
      </c>
      <c r="B213" t="s">
        <v>77</v>
      </c>
      <c r="C213" t="s">
        <v>17</v>
      </c>
      <c r="D213" t="s">
        <v>21</v>
      </c>
      <c r="E213">
        <v>10001</v>
      </c>
      <c r="F213">
        <v>2002</v>
      </c>
      <c r="G213">
        <v>38.1</v>
      </c>
      <c r="H213">
        <v>0.38096522907359159</v>
      </c>
      <c r="I213" t="s">
        <v>78</v>
      </c>
      <c r="J213">
        <f t="shared" si="15"/>
        <v>0.61903477092640835</v>
      </c>
      <c r="K213" t="str">
        <f t="shared" si="16"/>
        <v>60~65</v>
      </c>
      <c r="L213" t="str">
        <f t="shared" si="17"/>
        <v>AWAY</v>
      </c>
      <c r="M213">
        <f t="shared" si="18"/>
        <v>0.38320404761591087</v>
      </c>
      <c r="N213">
        <v>0</v>
      </c>
      <c r="O213">
        <f t="shared" si="19"/>
        <v>1</v>
      </c>
    </row>
    <row r="214" spans="1:15" x14ac:dyDescent="0.6">
      <c r="A214">
        <v>20260258</v>
      </c>
      <c r="B214" t="s">
        <v>77</v>
      </c>
      <c r="C214" t="s">
        <v>19</v>
      </c>
      <c r="D214" t="s">
        <v>22</v>
      </c>
      <c r="E214">
        <v>9002</v>
      </c>
      <c r="F214">
        <v>1001</v>
      </c>
      <c r="G214">
        <v>20.74</v>
      </c>
      <c r="H214">
        <v>0.20736297099376749</v>
      </c>
      <c r="I214" t="s">
        <v>78</v>
      </c>
      <c r="J214">
        <f t="shared" si="15"/>
        <v>0.79263702900623256</v>
      </c>
      <c r="K214" t="str">
        <f t="shared" si="16"/>
        <v>70~100</v>
      </c>
      <c r="L214" t="str">
        <f t="shared" si="17"/>
        <v>AWAY</v>
      </c>
      <c r="M214">
        <f t="shared" si="18"/>
        <v>0.62827345975182713</v>
      </c>
      <c r="N214">
        <v>0</v>
      </c>
      <c r="O214">
        <f t="shared" si="19"/>
        <v>1</v>
      </c>
    </row>
    <row r="215" spans="1:15" x14ac:dyDescent="0.6">
      <c r="A215">
        <v>20260259</v>
      </c>
      <c r="B215" t="s">
        <v>77</v>
      </c>
      <c r="C215" t="s">
        <v>23</v>
      </c>
      <c r="D215" t="s">
        <v>28</v>
      </c>
      <c r="E215">
        <v>3001</v>
      </c>
      <c r="F215">
        <v>5002</v>
      </c>
      <c r="G215">
        <v>59.92</v>
      </c>
      <c r="H215">
        <v>0.59918164786550099</v>
      </c>
      <c r="I215" t="s">
        <v>78</v>
      </c>
      <c r="J215">
        <f t="shared" si="15"/>
        <v>0.59918164786550099</v>
      </c>
      <c r="K215" t="str">
        <f t="shared" si="16"/>
        <v>55~60</v>
      </c>
      <c r="L215" t="str">
        <f t="shared" si="17"/>
        <v>HOME</v>
      </c>
      <c r="M215">
        <f t="shared" si="18"/>
        <v>0.3590186471388172</v>
      </c>
      <c r="N215">
        <v>0</v>
      </c>
      <c r="O215">
        <f t="shared" si="19"/>
        <v>0</v>
      </c>
    </row>
    <row r="216" spans="1:15" x14ac:dyDescent="0.6">
      <c r="A216">
        <v>20260260</v>
      </c>
      <c r="B216" t="s">
        <v>77</v>
      </c>
      <c r="C216" t="s">
        <v>27</v>
      </c>
      <c r="D216" t="s">
        <v>20</v>
      </c>
      <c r="E216">
        <v>11001</v>
      </c>
      <c r="F216">
        <v>7002</v>
      </c>
      <c r="G216">
        <v>44.41</v>
      </c>
      <c r="H216">
        <v>0.4440588662255105</v>
      </c>
      <c r="I216" t="s">
        <v>78</v>
      </c>
      <c r="J216">
        <f t="shared" si="15"/>
        <v>0.5559411337744895</v>
      </c>
      <c r="K216" t="str">
        <f t="shared" si="16"/>
        <v>55~60</v>
      </c>
      <c r="L216" t="str">
        <f t="shared" si="17"/>
        <v>AWAY</v>
      </c>
      <c r="M216">
        <f t="shared" si="18"/>
        <v>0.19718827667348582</v>
      </c>
      <c r="N216">
        <v>1</v>
      </c>
      <c r="O216">
        <f t="shared" si="19"/>
        <v>0</v>
      </c>
    </row>
    <row r="217" spans="1:15" x14ac:dyDescent="0.6">
      <c r="A217">
        <v>20260261</v>
      </c>
      <c r="B217" t="s">
        <v>79</v>
      </c>
      <c r="C217" t="s">
        <v>16</v>
      </c>
      <c r="D217" t="s">
        <v>24</v>
      </c>
      <c r="E217">
        <v>6002</v>
      </c>
      <c r="F217">
        <v>12001</v>
      </c>
      <c r="G217">
        <v>57.79</v>
      </c>
      <c r="H217">
        <v>0.57788393095212454</v>
      </c>
      <c r="I217" t="s">
        <v>70</v>
      </c>
      <c r="J217">
        <f t="shared" si="15"/>
        <v>0.57788393095212454</v>
      </c>
      <c r="K217" t="str">
        <f t="shared" si="16"/>
        <v>55~60</v>
      </c>
      <c r="L217" t="str">
        <f t="shared" si="17"/>
        <v>HOME</v>
      </c>
      <c r="M217">
        <f t="shared" si="18"/>
        <v>0.33394983765267983</v>
      </c>
      <c r="N217">
        <v>0</v>
      </c>
      <c r="O217">
        <f t="shared" si="19"/>
        <v>0</v>
      </c>
    </row>
    <row r="218" spans="1:15" x14ac:dyDescent="0.6">
      <c r="A218">
        <v>20260262</v>
      </c>
      <c r="B218" t="s">
        <v>79</v>
      </c>
      <c r="C218" t="s">
        <v>17</v>
      </c>
      <c r="D218" t="s">
        <v>21</v>
      </c>
      <c r="E218">
        <v>10001</v>
      </c>
      <c r="F218">
        <v>2002</v>
      </c>
      <c r="G218">
        <v>70.2</v>
      </c>
      <c r="H218">
        <v>0.7020440646037398</v>
      </c>
      <c r="I218" t="s">
        <v>70</v>
      </c>
      <c r="J218">
        <f t="shared" si="15"/>
        <v>0.7020440646037398</v>
      </c>
      <c r="K218" t="str">
        <f t="shared" si="16"/>
        <v>70~100</v>
      </c>
      <c r="L218" t="str">
        <f t="shared" si="17"/>
        <v>HOME</v>
      </c>
      <c r="M218">
        <f t="shared" si="18"/>
        <v>0.49286586864533999</v>
      </c>
      <c r="N218">
        <v>0</v>
      </c>
      <c r="O218">
        <f t="shared" si="19"/>
        <v>0</v>
      </c>
    </row>
    <row r="219" spans="1:15" x14ac:dyDescent="0.6">
      <c r="A219">
        <v>20260263</v>
      </c>
      <c r="B219" t="s">
        <v>79</v>
      </c>
      <c r="C219" t="s">
        <v>19</v>
      </c>
      <c r="D219" t="s">
        <v>22</v>
      </c>
      <c r="E219">
        <v>9002</v>
      </c>
      <c r="F219">
        <v>1001</v>
      </c>
      <c r="G219">
        <v>29.39</v>
      </c>
      <c r="H219">
        <v>0.29388591236651568</v>
      </c>
      <c r="I219" t="s">
        <v>70</v>
      </c>
      <c r="J219">
        <f t="shared" si="15"/>
        <v>0.70611408763348438</v>
      </c>
      <c r="K219" t="str">
        <f t="shared" si="16"/>
        <v>70~100</v>
      </c>
      <c r="L219" t="str">
        <f t="shared" si="17"/>
        <v>AWAY</v>
      </c>
      <c r="M219">
        <f t="shared" si="18"/>
        <v>0.49859710475446806</v>
      </c>
      <c r="N219">
        <v>0</v>
      </c>
      <c r="O219">
        <f t="shared" si="19"/>
        <v>1</v>
      </c>
    </row>
    <row r="220" spans="1:15" x14ac:dyDescent="0.6">
      <c r="A220">
        <v>20260264</v>
      </c>
      <c r="B220" t="s">
        <v>79</v>
      </c>
      <c r="C220" t="s">
        <v>23</v>
      </c>
      <c r="D220" t="s">
        <v>28</v>
      </c>
      <c r="E220">
        <v>3001</v>
      </c>
      <c r="F220">
        <v>5002</v>
      </c>
      <c r="G220">
        <v>58.42</v>
      </c>
      <c r="H220">
        <v>0.58417324628705924</v>
      </c>
      <c r="I220" t="s">
        <v>70</v>
      </c>
      <c r="J220">
        <f t="shared" si="15"/>
        <v>0.58417324628705924</v>
      </c>
      <c r="K220" t="str">
        <f t="shared" si="16"/>
        <v>55~60</v>
      </c>
      <c r="L220" t="str">
        <f t="shared" si="17"/>
        <v>HOME</v>
      </c>
      <c r="M220">
        <f t="shared" si="18"/>
        <v>0.17291188910344268</v>
      </c>
      <c r="N220">
        <v>1</v>
      </c>
      <c r="O220">
        <f t="shared" si="19"/>
        <v>1</v>
      </c>
    </row>
    <row r="221" spans="1:15" x14ac:dyDescent="0.6">
      <c r="A221">
        <v>20260265</v>
      </c>
      <c r="B221" t="s">
        <v>79</v>
      </c>
      <c r="C221" t="s">
        <v>27</v>
      </c>
      <c r="D221" t="s">
        <v>20</v>
      </c>
      <c r="E221">
        <v>11001</v>
      </c>
      <c r="F221">
        <v>7002</v>
      </c>
      <c r="G221">
        <v>48.92</v>
      </c>
      <c r="H221">
        <v>0.48917405383222651</v>
      </c>
      <c r="I221" t="s">
        <v>70</v>
      </c>
      <c r="J221">
        <f t="shared" si="15"/>
        <v>0.51082594616777355</v>
      </c>
      <c r="K221" t="str">
        <f t="shared" si="16"/>
        <v>50~55</v>
      </c>
      <c r="L221" t="str">
        <f t="shared" si="17"/>
        <v>AWAY</v>
      </c>
      <c r="M221">
        <f t="shared" si="18"/>
        <v>0.26094314727820106</v>
      </c>
      <c r="N221">
        <v>0</v>
      </c>
      <c r="O221">
        <f t="shared" si="19"/>
        <v>1</v>
      </c>
    </row>
    <row r="222" spans="1:15" x14ac:dyDescent="0.6">
      <c r="A222">
        <v>20260266</v>
      </c>
      <c r="B222" t="s">
        <v>80</v>
      </c>
      <c r="C222" t="s">
        <v>28</v>
      </c>
      <c r="D222" t="s">
        <v>21</v>
      </c>
      <c r="E222">
        <v>5002</v>
      </c>
      <c r="F222">
        <v>2002</v>
      </c>
      <c r="G222">
        <v>67.459999999999994</v>
      </c>
      <c r="H222">
        <v>0.67463903160243821</v>
      </c>
      <c r="I222" t="s">
        <v>70</v>
      </c>
      <c r="J222">
        <f t="shared" si="15"/>
        <v>0.67463903160243821</v>
      </c>
      <c r="K222" t="str">
        <f t="shared" si="16"/>
        <v>65~70</v>
      </c>
      <c r="L222" t="str">
        <f t="shared" si="17"/>
        <v>HOME</v>
      </c>
      <c r="M222">
        <f t="shared" si="18"/>
        <v>0.1058597597565992</v>
      </c>
      <c r="N222">
        <v>1</v>
      </c>
      <c r="O222">
        <f t="shared" si="19"/>
        <v>1</v>
      </c>
    </row>
    <row r="223" spans="1:15" x14ac:dyDescent="0.6">
      <c r="A223">
        <v>20260267</v>
      </c>
      <c r="B223" t="s">
        <v>80</v>
      </c>
      <c r="C223" t="s">
        <v>17</v>
      </c>
      <c r="D223" t="s">
        <v>24</v>
      </c>
      <c r="E223">
        <v>10001</v>
      </c>
      <c r="F223">
        <v>12001</v>
      </c>
      <c r="G223">
        <v>53.45</v>
      </c>
      <c r="H223">
        <v>0.53453721487078865</v>
      </c>
      <c r="I223" t="s">
        <v>70</v>
      </c>
      <c r="J223">
        <f t="shared" si="15"/>
        <v>0.53453721487078865</v>
      </c>
      <c r="K223" t="str">
        <f t="shared" si="16"/>
        <v>50~55</v>
      </c>
      <c r="L223" t="str">
        <f t="shared" si="17"/>
        <v>HOME</v>
      </c>
      <c r="M223">
        <f t="shared" si="18"/>
        <v>0.28573003408181968</v>
      </c>
      <c r="N223">
        <v>0</v>
      </c>
      <c r="O223">
        <f t="shared" si="19"/>
        <v>0</v>
      </c>
    </row>
    <row r="224" spans="1:15" x14ac:dyDescent="0.6">
      <c r="A224">
        <v>20260268</v>
      </c>
      <c r="B224" t="s">
        <v>80</v>
      </c>
      <c r="C224" t="s">
        <v>20</v>
      </c>
      <c r="D224" t="s">
        <v>19</v>
      </c>
      <c r="E224">
        <v>7002</v>
      </c>
      <c r="F224">
        <v>9002</v>
      </c>
      <c r="G224">
        <v>61.71</v>
      </c>
      <c r="H224">
        <v>0.61706213234715135</v>
      </c>
      <c r="I224" t="s">
        <v>70</v>
      </c>
      <c r="J224">
        <f t="shared" si="15"/>
        <v>0.61706213234715135</v>
      </c>
      <c r="K224" t="str">
        <f t="shared" si="16"/>
        <v>60~65</v>
      </c>
      <c r="L224" t="str">
        <f t="shared" si="17"/>
        <v>HOME</v>
      </c>
      <c r="M224">
        <f t="shared" si="18"/>
        <v>0.14664141048251064</v>
      </c>
      <c r="N224">
        <v>1</v>
      </c>
      <c r="O224">
        <f t="shared" si="19"/>
        <v>1</v>
      </c>
    </row>
    <row r="225" spans="1:15" x14ac:dyDescent="0.6">
      <c r="A225">
        <v>20260269</v>
      </c>
      <c r="B225" t="s">
        <v>80</v>
      </c>
      <c r="C225" t="s">
        <v>22</v>
      </c>
      <c r="D225" t="s">
        <v>16</v>
      </c>
      <c r="E225">
        <v>1001</v>
      </c>
      <c r="F225">
        <v>6002</v>
      </c>
      <c r="G225">
        <v>52.19</v>
      </c>
      <c r="H225">
        <v>0.52193072498031956</v>
      </c>
      <c r="I225" t="s">
        <v>70</v>
      </c>
      <c r="J225">
        <f t="shared" si="15"/>
        <v>0.52193072498031956</v>
      </c>
      <c r="K225" t="str">
        <f t="shared" si="16"/>
        <v>50~55</v>
      </c>
      <c r="L225" t="str">
        <f t="shared" si="17"/>
        <v>HOME</v>
      </c>
      <c r="M225">
        <f t="shared" si="18"/>
        <v>0.27241168167848195</v>
      </c>
      <c r="N225">
        <v>0</v>
      </c>
      <c r="O225">
        <f t="shared" si="19"/>
        <v>0</v>
      </c>
    </row>
    <row r="226" spans="1:15" x14ac:dyDescent="0.6">
      <c r="A226">
        <v>20260270</v>
      </c>
      <c r="B226" t="s">
        <v>80</v>
      </c>
      <c r="C226" t="s">
        <v>27</v>
      </c>
      <c r="D226" t="s">
        <v>23</v>
      </c>
      <c r="E226">
        <v>11001</v>
      </c>
      <c r="F226">
        <v>3001</v>
      </c>
      <c r="G226">
        <v>52.48</v>
      </c>
      <c r="H226">
        <v>0.52480278940696001</v>
      </c>
      <c r="I226" t="s">
        <v>70</v>
      </c>
      <c r="J226">
        <f t="shared" si="15"/>
        <v>0.52480278940696001</v>
      </c>
      <c r="K226" t="str">
        <f t="shared" si="16"/>
        <v>50~55</v>
      </c>
      <c r="L226" t="str">
        <f t="shared" si="17"/>
        <v>HOME</v>
      </c>
      <c r="M226">
        <f t="shared" si="18"/>
        <v>0.27541796776932603</v>
      </c>
      <c r="N226">
        <v>0</v>
      </c>
      <c r="O226">
        <f t="shared" si="19"/>
        <v>0</v>
      </c>
    </row>
    <row r="227" spans="1:15" x14ac:dyDescent="0.6">
      <c r="A227">
        <v>20260274</v>
      </c>
      <c r="B227" t="s">
        <v>81</v>
      </c>
      <c r="C227" t="s">
        <v>22</v>
      </c>
      <c r="D227" t="s">
        <v>16</v>
      </c>
      <c r="E227">
        <v>1001</v>
      </c>
      <c r="F227">
        <v>6002</v>
      </c>
      <c r="G227">
        <v>60.22</v>
      </c>
      <c r="H227">
        <v>0.60219726142385843</v>
      </c>
      <c r="I227" t="s">
        <v>70</v>
      </c>
      <c r="J227">
        <f t="shared" si="15"/>
        <v>0.60219726142385843</v>
      </c>
      <c r="K227" t="str">
        <f t="shared" si="16"/>
        <v>60~65</v>
      </c>
      <c r="L227" t="str">
        <f t="shared" si="17"/>
        <v>HOME</v>
      </c>
      <c r="M227">
        <f t="shared" si="18"/>
        <v>0.3626415416663949</v>
      </c>
      <c r="N227">
        <v>0</v>
      </c>
      <c r="O227">
        <f t="shared" si="19"/>
        <v>0</v>
      </c>
    </row>
    <row r="228" spans="1:15" x14ac:dyDescent="0.6">
      <c r="A228">
        <v>20260271</v>
      </c>
      <c r="B228" t="s">
        <v>81</v>
      </c>
      <c r="C228" t="s">
        <v>28</v>
      </c>
      <c r="D228" t="s">
        <v>21</v>
      </c>
      <c r="E228">
        <v>5002</v>
      </c>
      <c r="F228">
        <v>2002</v>
      </c>
      <c r="G228">
        <v>32.700000000000003</v>
      </c>
      <c r="H228">
        <v>0.3270455046355627</v>
      </c>
      <c r="I228" t="s">
        <v>70</v>
      </c>
      <c r="J228">
        <f t="shared" si="15"/>
        <v>0.6729544953644373</v>
      </c>
      <c r="K228" t="str">
        <f t="shared" si="16"/>
        <v>65~70</v>
      </c>
      <c r="L228" t="str">
        <f t="shared" si="17"/>
        <v>AWAY</v>
      </c>
      <c r="M228">
        <f t="shared" si="18"/>
        <v>0.10695876210232987</v>
      </c>
      <c r="N228">
        <v>1</v>
      </c>
      <c r="O228">
        <f t="shared" si="19"/>
        <v>0</v>
      </c>
    </row>
    <row r="229" spans="1:15" x14ac:dyDescent="0.6">
      <c r="A229">
        <v>20260272</v>
      </c>
      <c r="B229" t="s">
        <v>81</v>
      </c>
      <c r="C229" t="s">
        <v>17</v>
      </c>
      <c r="D229" t="s">
        <v>24</v>
      </c>
      <c r="E229">
        <v>10001</v>
      </c>
      <c r="F229">
        <v>12001</v>
      </c>
      <c r="G229">
        <v>100</v>
      </c>
      <c r="H229">
        <v>1</v>
      </c>
      <c r="I229" t="s">
        <v>70</v>
      </c>
      <c r="J229">
        <f t="shared" si="15"/>
        <v>1</v>
      </c>
      <c r="K229" t="str">
        <f t="shared" si="16"/>
        <v>70~100</v>
      </c>
      <c r="L229" t="str">
        <f t="shared" si="17"/>
        <v>HOME</v>
      </c>
      <c r="M229">
        <f t="shared" si="18"/>
        <v>1</v>
      </c>
      <c r="N229">
        <v>0</v>
      </c>
      <c r="O229">
        <f t="shared" si="19"/>
        <v>0</v>
      </c>
    </row>
    <row r="230" spans="1:15" x14ac:dyDescent="0.6">
      <c r="A230">
        <v>20260273</v>
      </c>
      <c r="B230" t="s">
        <v>81</v>
      </c>
      <c r="C230" t="s">
        <v>20</v>
      </c>
      <c r="D230" t="s">
        <v>19</v>
      </c>
      <c r="E230">
        <v>7002</v>
      </c>
      <c r="F230">
        <v>9002</v>
      </c>
      <c r="G230">
        <v>65.03</v>
      </c>
      <c r="H230">
        <v>0.65032580023662456</v>
      </c>
      <c r="I230" t="s">
        <v>70</v>
      </c>
      <c r="J230">
        <f t="shared" si="15"/>
        <v>0.65032580023662456</v>
      </c>
      <c r="K230" t="str">
        <f t="shared" si="16"/>
        <v>65~70</v>
      </c>
      <c r="L230" t="str">
        <f t="shared" si="17"/>
        <v>HOME</v>
      </c>
      <c r="M230">
        <f t="shared" si="18"/>
        <v>0.12227204598015699</v>
      </c>
      <c r="N230">
        <v>1</v>
      </c>
      <c r="O230">
        <f t="shared" si="19"/>
        <v>1</v>
      </c>
    </row>
    <row r="231" spans="1:15" x14ac:dyDescent="0.6">
      <c r="A231">
        <v>20260275</v>
      </c>
      <c r="B231" t="s">
        <v>81</v>
      </c>
      <c r="C231" t="s">
        <v>27</v>
      </c>
      <c r="D231" t="s">
        <v>23</v>
      </c>
      <c r="E231">
        <v>11001</v>
      </c>
      <c r="F231">
        <v>3001</v>
      </c>
      <c r="G231">
        <v>78.66</v>
      </c>
      <c r="H231">
        <v>0.78663224274055554</v>
      </c>
      <c r="I231" t="s">
        <v>70</v>
      </c>
      <c r="J231">
        <f t="shared" si="15"/>
        <v>0.78663224274055554</v>
      </c>
      <c r="K231" t="str">
        <f t="shared" si="16"/>
        <v>70~100</v>
      </c>
      <c r="L231" t="str">
        <f t="shared" si="17"/>
        <v>HOME</v>
      </c>
      <c r="M231">
        <f t="shared" si="18"/>
        <v>4.5525799837925214E-2</v>
      </c>
      <c r="N231">
        <v>1</v>
      </c>
      <c r="O231">
        <f t="shared" si="19"/>
        <v>1</v>
      </c>
    </row>
    <row r="232" spans="1:15" x14ac:dyDescent="0.6">
      <c r="A232">
        <v>20260276</v>
      </c>
      <c r="B232" t="s">
        <v>82</v>
      </c>
      <c r="C232" t="s">
        <v>28</v>
      </c>
      <c r="D232" t="s">
        <v>21</v>
      </c>
      <c r="E232">
        <v>5002</v>
      </c>
      <c r="F232">
        <v>2002</v>
      </c>
      <c r="G232">
        <v>54.51</v>
      </c>
      <c r="H232">
        <v>0.54514283963878651</v>
      </c>
      <c r="I232" t="s">
        <v>70</v>
      </c>
      <c r="J232">
        <f t="shared" si="15"/>
        <v>0.54514283963878651</v>
      </c>
      <c r="K232" t="str">
        <f t="shared" si="16"/>
        <v>50~55</v>
      </c>
      <c r="L232" t="str">
        <f t="shared" si="17"/>
        <v>HOME</v>
      </c>
      <c r="M232">
        <f t="shared" si="18"/>
        <v>0.20689503633186668</v>
      </c>
      <c r="N232">
        <v>1</v>
      </c>
      <c r="O232">
        <f t="shared" si="19"/>
        <v>1</v>
      </c>
    </row>
    <row r="233" spans="1:15" x14ac:dyDescent="0.6">
      <c r="A233">
        <v>20260277</v>
      </c>
      <c r="B233" t="s">
        <v>82</v>
      </c>
      <c r="C233" t="s">
        <v>17</v>
      </c>
      <c r="D233" t="s">
        <v>24</v>
      </c>
      <c r="E233">
        <v>10001</v>
      </c>
      <c r="F233">
        <v>12001</v>
      </c>
      <c r="G233">
        <v>48.67</v>
      </c>
      <c r="H233">
        <v>0.4867316451000267</v>
      </c>
      <c r="I233" t="s">
        <v>70</v>
      </c>
      <c r="J233">
        <f t="shared" si="15"/>
        <v>0.51326835489997324</v>
      </c>
      <c r="K233" t="str">
        <f t="shared" si="16"/>
        <v>50~55</v>
      </c>
      <c r="L233" t="str">
        <f t="shared" si="17"/>
        <v>AWAY</v>
      </c>
      <c r="M233">
        <f t="shared" si="18"/>
        <v>0.26344440414172487</v>
      </c>
      <c r="N233">
        <v>0</v>
      </c>
      <c r="O233">
        <f t="shared" si="19"/>
        <v>1</v>
      </c>
    </row>
    <row r="234" spans="1:15" x14ac:dyDescent="0.6">
      <c r="A234">
        <v>20260278</v>
      </c>
      <c r="B234" t="s">
        <v>82</v>
      </c>
      <c r="C234" t="s">
        <v>20</v>
      </c>
      <c r="D234" t="s">
        <v>19</v>
      </c>
      <c r="E234">
        <v>7002</v>
      </c>
      <c r="F234">
        <v>9002</v>
      </c>
      <c r="G234">
        <v>65.27</v>
      </c>
      <c r="H234">
        <v>0.65273308479492664</v>
      </c>
      <c r="I234" t="s">
        <v>70</v>
      </c>
      <c r="J234">
        <f t="shared" si="15"/>
        <v>0.65273308479492664</v>
      </c>
      <c r="K234" t="str">
        <f t="shared" si="16"/>
        <v>65~70</v>
      </c>
      <c r="L234" t="str">
        <f t="shared" si="17"/>
        <v>HOME</v>
      </c>
      <c r="M234">
        <f t="shared" si="18"/>
        <v>0.12059431039604761</v>
      </c>
      <c r="N234">
        <v>1</v>
      </c>
      <c r="O234">
        <f t="shared" si="19"/>
        <v>1</v>
      </c>
    </row>
    <row r="235" spans="1:15" x14ac:dyDescent="0.6">
      <c r="A235">
        <v>20260279</v>
      </c>
      <c r="B235" t="s">
        <v>82</v>
      </c>
      <c r="C235" t="s">
        <v>22</v>
      </c>
      <c r="D235" t="s">
        <v>16</v>
      </c>
      <c r="E235">
        <v>1001</v>
      </c>
      <c r="F235">
        <v>6002</v>
      </c>
      <c r="G235">
        <v>46.96</v>
      </c>
      <c r="H235">
        <v>0.46963994071891141</v>
      </c>
      <c r="I235" t="s">
        <v>70</v>
      </c>
      <c r="J235">
        <f t="shared" si="15"/>
        <v>0.53036005928108865</v>
      </c>
      <c r="K235" t="str">
        <f t="shared" si="16"/>
        <v>50~55</v>
      </c>
      <c r="L235" t="str">
        <f t="shared" si="17"/>
        <v>AWAY</v>
      </c>
      <c r="M235">
        <f t="shared" si="18"/>
        <v>0.22056167391846257</v>
      </c>
      <c r="N235">
        <v>1</v>
      </c>
      <c r="O235">
        <f t="shared" si="19"/>
        <v>0</v>
      </c>
    </row>
    <row r="236" spans="1:15" x14ac:dyDescent="0.6">
      <c r="A236">
        <v>20260280</v>
      </c>
      <c r="B236" t="s">
        <v>82</v>
      </c>
      <c r="C236" t="s">
        <v>27</v>
      </c>
      <c r="D236" t="s">
        <v>23</v>
      </c>
      <c r="E236">
        <v>11001</v>
      </c>
      <c r="F236">
        <v>3001</v>
      </c>
      <c r="G236">
        <v>33</v>
      </c>
      <c r="H236">
        <v>0.33001244871207708</v>
      </c>
      <c r="I236" t="s">
        <v>70</v>
      </c>
      <c r="J236">
        <f t="shared" si="15"/>
        <v>0.66998755128792298</v>
      </c>
      <c r="K236" t="str">
        <f t="shared" si="16"/>
        <v>65~70</v>
      </c>
      <c r="L236" t="str">
        <f t="shared" si="17"/>
        <v>AWAY</v>
      </c>
      <c r="M236">
        <f t="shared" si="18"/>
        <v>0.10890821630494127</v>
      </c>
      <c r="N236">
        <v>1</v>
      </c>
      <c r="O236">
        <f t="shared" si="19"/>
        <v>0</v>
      </c>
    </row>
    <row r="237" spans="1:15" x14ac:dyDescent="0.6">
      <c r="A237">
        <v>20260281</v>
      </c>
      <c r="B237" t="s">
        <v>83</v>
      </c>
      <c r="C237" t="s">
        <v>16</v>
      </c>
      <c r="D237" t="s">
        <v>20</v>
      </c>
      <c r="E237">
        <v>6002</v>
      </c>
      <c r="F237">
        <v>7002</v>
      </c>
      <c r="G237">
        <v>45.2</v>
      </c>
      <c r="H237">
        <v>0.45199373300717349</v>
      </c>
      <c r="I237" t="s">
        <v>78</v>
      </c>
      <c r="J237">
        <f t="shared" si="15"/>
        <v>0.54800626699282651</v>
      </c>
      <c r="K237" t="str">
        <f t="shared" si="16"/>
        <v>50~55</v>
      </c>
      <c r="L237" t="str">
        <f t="shared" si="17"/>
        <v>AWAY</v>
      </c>
      <c r="M237">
        <f t="shared" si="18"/>
        <v>0.20429833467776004</v>
      </c>
      <c r="N237">
        <v>1</v>
      </c>
      <c r="O237">
        <f t="shared" si="19"/>
        <v>0</v>
      </c>
    </row>
    <row r="238" spans="1:15" x14ac:dyDescent="0.6">
      <c r="A238">
        <v>20260282</v>
      </c>
      <c r="B238" t="s">
        <v>83</v>
      </c>
      <c r="C238" t="s">
        <v>19</v>
      </c>
      <c r="D238" t="s">
        <v>17</v>
      </c>
      <c r="E238">
        <v>9002</v>
      </c>
      <c r="F238">
        <v>10001</v>
      </c>
      <c r="G238">
        <v>48.96</v>
      </c>
      <c r="H238">
        <v>0.48956427273012643</v>
      </c>
      <c r="I238" t="s">
        <v>78</v>
      </c>
      <c r="J238">
        <f t="shared" si="15"/>
        <v>0.51043572726987363</v>
      </c>
      <c r="K238" t="str">
        <f t="shared" si="16"/>
        <v>50~55</v>
      </c>
      <c r="L238" t="str">
        <f t="shared" si="17"/>
        <v>AWAY</v>
      </c>
      <c r="M238">
        <f t="shared" si="18"/>
        <v>0.26054463167352482</v>
      </c>
      <c r="N238">
        <v>0</v>
      </c>
      <c r="O238">
        <f t="shared" si="19"/>
        <v>1</v>
      </c>
    </row>
    <row r="239" spans="1:15" x14ac:dyDescent="0.6">
      <c r="A239">
        <v>20260283</v>
      </c>
      <c r="B239" t="s">
        <v>83</v>
      </c>
      <c r="C239" t="s">
        <v>24</v>
      </c>
      <c r="D239" t="s">
        <v>28</v>
      </c>
      <c r="E239">
        <v>12001</v>
      </c>
      <c r="F239">
        <v>5002</v>
      </c>
      <c r="G239">
        <v>55.52</v>
      </c>
      <c r="H239">
        <v>0.55521472304369157</v>
      </c>
      <c r="I239" t="s">
        <v>78</v>
      </c>
      <c r="J239">
        <f t="shared" si="15"/>
        <v>0.55521472304369157</v>
      </c>
      <c r="K239" t="str">
        <f t="shared" si="16"/>
        <v>55~60</v>
      </c>
      <c r="L239" t="str">
        <f t="shared" si="17"/>
        <v>HOME</v>
      </c>
      <c r="M239">
        <f t="shared" si="18"/>
        <v>0.30826338868448316</v>
      </c>
      <c r="N239">
        <v>0</v>
      </c>
      <c r="O239">
        <f t="shared" si="19"/>
        <v>0</v>
      </c>
    </row>
    <row r="240" spans="1:15" x14ac:dyDescent="0.6">
      <c r="A240">
        <v>20260284</v>
      </c>
      <c r="B240" t="s">
        <v>83</v>
      </c>
      <c r="C240" t="s">
        <v>22</v>
      </c>
      <c r="D240" t="s">
        <v>27</v>
      </c>
      <c r="E240">
        <v>1001</v>
      </c>
      <c r="F240">
        <v>11001</v>
      </c>
      <c r="G240">
        <v>70.849999999999994</v>
      </c>
      <c r="H240">
        <v>0.70847957486970381</v>
      </c>
      <c r="I240" t="s">
        <v>78</v>
      </c>
      <c r="J240">
        <f t="shared" si="15"/>
        <v>0.70847957486970381</v>
      </c>
      <c r="K240" t="str">
        <f t="shared" si="16"/>
        <v>70~100</v>
      </c>
      <c r="L240" t="str">
        <f t="shared" si="17"/>
        <v>HOME</v>
      </c>
      <c r="M240">
        <f t="shared" si="18"/>
        <v>8.4984158268148632E-2</v>
      </c>
      <c r="N240">
        <v>1</v>
      </c>
      <c r="O240">
        <f t="shared" si="19"/>
        <v>1</v>
      </c>
    </row>
    <row r="241" spans="1:15" x14ac:dyDescent="0.6">
      <c r="A241">
        <v>20260285</v>
      </c>
      <c r="B241" t="s">
        <v>83</v>
      </c>
      <c r="C241" t="s">
        <v>21</v>
      </c>
      <c r="D241" t="s">
        <v>23</v>
      </c>
      <c r="E241">
        <v>2002</v>
      </c>
      <c r="F241">
        <v>3001</v>
      </c>
      <c r="G241">
        <v>63.88</v>
      </c>
      <c r="H241">
        <v>0.63879265017936981</v>
      </c>
      <c r="I241" t="s">
        <v>78</v>
      </c>
      <c r="J241">
        <f t="shared" si="15"/>
        <v>0.63879265017936981</v>
      </c>
      <c r="K241" t="str">
        <f t="shared" si="16"/>
        <v>60~65</v>
      </c>
      <c r="L241" t="str">
        <f t="shared" si="17"/>
        <v>HOME</v>
      </c>
      <c r="M241">
        <f t="shared" si="18"/>
        <v>0.1304707495644431</v>
      </c>
      <c r="N241">
        <v>1</v>
      </c>
      <c r="O241">
        <f t="shared" si="19"/>
        <v>1</v>
      </c>
    </row>
    <row r="242" spans="1:15" x14ac:dyDescent="0.6">
      <c r="A242">
        <v>20260286</v>
      </c>
      <c r="B242" t="s">
        <v>84</v>
      </c>
      <c r="C242" t="s">
        <v>16</v>
      </c>
      <c r="D242" t="s">
        <v>20</v>
      </c>
      <c r="E242">
        <v>6002</v>
      </c>
      <c r="F242">
        <v>7002</v>
      </c>
      <c r="G242">
        <v>17.86</v>
      </c>
      <c r="H242">
        <v>0.17863080663787781</v>
      </c>
      <c r="I242" t="s">
        <v>70</v>
      </c>
      <c r="J242">
        <f t="shared" si="15"/>
        <v>0.82136919336212222</v>
      </c>
      <c r="K242" t="str">
        <f t="shared" si="16"/>
        <v>70~100</v>
      </c>
      <c r="L242" t="str">
        <f t="shared" si="17"/>
        <v>AWAY</v>
      </c>
      <c r="M242" t="str">
        <f t="shared" si="18"/>
        <v/>
      </c>
      <c r="N242" t="s">
        <v>50</v>
      </c>
      <c r="O242" t="str">
        <f t="shared" si="19"/>
        <v/>
      </c>
    </row>
    <row r="243" spans="1:15" x14ac:dyDescent="0.6">
      <c r="A243">
        <v>20260287</v>
      </c>
      <c r="B243" t="s">
        <v>84</v>
      </c>
      <c r="C243" t="s">
        <v>19</v>
      </c>
      <c r="D243" t="s">
        <v>17</v>
      </c>
      <c r="E243">
        <v>9002</v>
      </c>
      <c r="F243">
        <v>10001</v>
      </c>
      <c r="G243">
        <v>44.64</v>
      </c>
      <c r="H243">
        <v>0.44641695889757882</v>
      </c>
      <c r="I243" t="s">
        <v>70</v>
      </c>
      <c r="J243">
        <f t="shared" si="15"/>
        <v>0.55358304110242118</v>
      </c>
      <c r="K243" t="str">
        <f t="shared" si="16"/>
        <v>55~60</v>
      </c>
      <c r="L243" t="str">
        <f t="shared" si="17"/>
        <v>AWAY</v>
      </c>
      <c r="M243">
        <f t="shared" si="18"/>
        <v>0.19928810119136259</v>
      </c>
      <c r="N243">
        <v>1</v>
      </c>
      <c r="O243">
        <f t="shared" si="19"/>
        <v>0</v>
      </c>
    </row>
    <row r="244" spans="1:15" x14ac:dyDescent="0.6">
      <c r="A244">
        <v>20260288</v>
      </c>
      <c r="B244" t="s">
        <v>84</v>
      </c>
      <c r="C244" t="s">
        <v>24</v>
      </c>
      <c r="D244" t="s">
        <v>28</v>
      </c>
      <c r="E244">
        <v>12001</v>
      </c>
      <c r="F244">
        <v>5002</v>
      </c>
      <c r="G244">
        <v>57.7</v>
      </c>
      <c r="H244">
        <v>0.57704643152955104</v>
      </c>
      <c r="I244" t="s">
        <v>70</v>
      </c>
      <c r="J244">
        <f t="shared" si="15"/>
        <v>0.57704643152955104</v>
      </c>
      <c r="K244" t="str">
        <f t="shared" si="16"/>
        <v>55~60</v>
      </c>
      <c r="L244" t="str">
        <f t="shared" si="17"/>
        <v>HOME</v>
      </c>
      <c r="M244">
        <f t="shared" si="18"/>
        <v>0.17888972108188675</v>
      </c>
      <c r="N244">
        <v>1</v>
      </c>
      <c r="O244">
        <f t="shared" si="19"/>
        <v>1</v>
      </c>
    </row>
    <row r="245" spans="1:15" x14ac:dyDescent="0.6">
      <c r="A245">
        <v>20260289</v>
      </c>
      <c r="B245" t="s">
        <v>84</v>
      </c>
      <c r="C245" t="s">
        <v>22</v>
      </c>
      <c r="D245" t="s">
        <v>27</v>
      </c>
      <c r="E245">
        <v>1001</v>
      </c>
      <c r="F245">
        <v>11001</v>
      </c>
      <c r="G245">
        <v>53.49</v>
      </c>
      <c r="H245">
        <v>0.53489736105826491</v>
      </c>
      <c r="I245" t="s">
        <v>70</v>
      </c>
      <c r="J245">
        <f t="shared" si="15"/>
        <v>0.53489736105826491</v>
      </c>
      <c r="K245" t="str">
        <f t="shared" si="16"/>
        <v>50~55</v>
      </c>
      <c r="L245" t="str">
        <f t="shared" si="17"/>
        <v>HOME</v>
      </c>
      <c r="M245">
        <f t="shared" si="18"/>
        <v>0.28611518686709581</v>
      </c>
      <c r="N245">
        <v>0</v>
      </c>
      <c r="O245">
        <f t="shared" si="19"/>
        <v>0</v>
      </c>
    </row>
    <row r="246" spans="1:15" x14ac:dyDescent="0.6">
      <c r="A246">
        <v>20260290</v>
      </c>
      <c r="B246" t="s">
        <v>84</v>
      </c>
      <c r="C246" t="s">
        <v>21</v>
      </c>
      <c r="D246" t="s">
        <v>23</v>
      </c>
      <c r="E246">
        <v>2002</v>
      </c>
      <c r="F246">
        <v>3001</v>
      </c>
      <c r="G246">
        <v>47.73</v>
      </c>
      <c r="H246">
        <v>0.47734316785724012</v>
      </c>
      <c r="I246" t="s">
        <v>70</v>
      </c>
      <c r="J246">
        <f t="shared" si="15"/>
        <v>0.52265683214275982</v>
      </c>
      <c r="K246" t="str">
        <f t="shared" si="16"/>
        <v>50~55</v>
      </c>
      <c r="L246" t="str">
        <f t="shared" si="17"/>
        <v>AWAY</v>
      </c>
      <c r="M246">
        <f t="shared" si="18"/>
        <v>0.27317016418550499</v>
      </c>
      <c r="N246">
        <v>0</v>
      </c>
      <c r="O246">
        <f t="shared" si="19"/>
        <v>1</v>
      </c>
    </row>
    <row r="247" spans="1:15" x14ac:dyDescent="0.6">
      <c r="A247">
        <v>20260291</v>
      </c>
      <c r="B247" t="s">
        <v>85</v>
      </c>
      <c r="C247" t="s">
        <v>16</v>
      </c>
      <c r="D247" t="s">
        <v>20</v>
      </c>
      <c r="E247">
        <v>6002</v>
      </c>
      <c r="F247">
        <v>7002</v>
      </c>
      <c r="G247">
        <v>45.32</v>
      </c>
      <c r="H247">
        <v>0.45320601745870959</v>
      </c>
      <c r="I247" t="s">
        <v>70</v>
      </c>
      <c r="J247">
        <f t="shared" si="15"/>
        <v>0.54679398254129041</v>
      </c>
      <c r="K247" t="str">
        <f t="shared" si="16"/>
        <v>50~55</v>
      </c>
      <c r="L247" t="str">
        <f t="shared" si="17"/>
        <v>AWAY</v>
      </c>
      <c r="M247">
        <f t="shared" si="18"/>
        <v>0.20539569426078419</v>
      </c>
      <c r="N247">
        <v>1</v>
      </c>
      <c r="O247">
        <f t="shared" si="19"/>
        <v>0</v>
      </c>
    </row>
    <row r="248" spans="1:15" x14ac:dyDescent="0.6">
      <c r="A248">
        <v>20260292</v>
      </c>
      <c r="B248" t="s">
        <v>85</v>
      </c>
      <c r="C248" t="s">
        <v>19</v>
      </c>
      <c r="D248" t="s">
        <v>17</v>
      </c>
      <c r="E248">
        <v>9002</v>
      </c>
      <c r="F248">
        <v>10001</v>
      </c>
      <c r="G248">
        <v>49.96</v>
      </c>
      <c r="H248">
        <v>0.49959812017326782</v>
      </c>
      <c r="I248" t="s">
        <v>70</v>
      </c>
      <c r="J248">
        <f t="shared" si="15"/>
        <v>0.50040187982673223</v>
      </c>
      <c r="K248" t="str">
        <f t="shared" si="16"/>
        <v>50~55</v>
      </c>
      <c r="L248" t="str">
        <f t="shared" si="17"/>
        <v>AWAY</v>
      </c>
      <c r="M248">
        <f t="shared" si="18"/>
        <v>0.24959828168066289</v>
      </c>
      <c r="N248">
        <v>1</v>
      </c>
      <c r="O248">
        <f t="shared" si="19"/>
        <v>0</v>
      </c>
    </row>
    <row r="249" spans="1:15" x14ac:dyDescent="0.6">
      <c r="A249">
        <v>20260293</v>
      </c>
      <c r="B249" t="s">
        <v>85</v>
      </c>
      <c r="C249" t="s">
        <v>24</v>
      </c>
      <c r="D249" t="s">
        <v>28</v>
      </c>
      <c r="E249">
        <v>12001</v>
      </c>
      <c r="F249">
        <v>5002</v>
      </c>
      <c r="G249">
        <v>29.68</v>
      </c>
      <c r="H249">
        <v>0.29683268939746987</v>
      </c>
      <c r="I249" t="s">
        <v>70</v>
      </c>
      <c r="J249">
        <f t="shared" si="15"/>
        <v>0.70316731060253013</v>
      </c>
      <c r="K249" t="str">
        <f t="shared" si="16"/>
        <v>70~100</v>
      </c>
      <c r="L249" t="str">
        <f t="shared" si="17"/>
        <v>AWAY</v>
      </c>
      <c r="M249">
        <f t="shared" si="18"/>
        <v>0.49444426669999508</v>
      </c>
      <c r="N249">
        <v>0</v>
      </c>
      <c r="O249">
        <f t="shared" si="19"/>
        <v>1</v>
      </c>
    </row>
    <row r="250" spans="1:15" x14ac:dyDescent="0.6">
      <c r="A250">
        <v>20260294</v>
      </c>
      <c r="B250" t="s">
        <v>85</v>
      </c>
      <c r="C250" t="s">
        <v>22</v>
      </c>
      <c r="D250" t="s">
        <v>27</v>
      </c>
      <c r="E250">
        <v>1001</v>
      </c>
      <c r="F250">
        <v>11001</v>
      </c>
      <c r="G250">
        <v>58.27</v>
      </c>
      <c r="H250">
        <v>0.58271177423858378</v>
      </c>
      <c r="I250" t="s">
        <v>70</v>
      </c>
      <c r="J250">
        <f t="shared" si="15"/>
        <v>0.58271177423858378</v>
      </c>
      <c r="K250" t="str">
        <f t="shared" si="16"/>
        <v>55~60</v>
      </c>
      <c r="L250" t="str">
        <f t="shared" si="17"/>
        <v>HOME</v>
      </c>
      <c r="M250">
        <f t="shared" si="18"/>
        <v>0.33955301183627823</v>
      </c>
      <c r="N250">
        <v>0</v>
      </c>
      <c r="O250">
        <f t="shared" si="19"/>
        <v>0</v>
      </c>
    </row>
    <row r="251" spans="1:15" x14ac:dyDescent="0.6">
      <c r="A251">
        <v>20260295</v>
      </c>
      <c r="B251" t="s">
        <v>85</v>
      </c>
      <c r="C251" t="s">
        <v>21</v>
      </c>
      <c r="D251" t="s">
        <v>23</v>
      </c>
      <c r="E251">
        <v>2002</v>
      </c>
      <c r="F251">
        <v>3001</v>
      </c>
      <c r="G251">
        <v>42.31</v>
      </c>
      <c r="H251">
        <v>0.42313354089072908</v>
      </c>
      <c r="I251" t="s">
        <v>70</v>
      </c>
      <c r="J251">
        <f t="shared" si="15"/>
        <v>0.57686645910927092</v>
      </c>
      <c r="K251" t="str">
        <f t="shared" si="16"/>
        <v>55~60</v>
      </c>
      <c r="L251" t="str">
        <f t="shared" si="17"/>
        <v>AWAY</v>
      </c>
      <c r="M251">
        <f t="shared" si="18"/>
        <v>0.1790419934267263</v>
      </c>
      <c r="N251">
        <v>1</v>
      </c>
      <c r="O251">
        <f t="shared" si="19"/>
        <v>0</v>
      </c>
    </row>
    <row r="252" spans="1:15" x14ac:dyDescent="0.6">
      <c r="A252">
        <v>20260296</v>
      </c>
      <c r="B252" t="s">
        <v>86</v>
      </c>
      <c r="C252" t="s">
        <v>16</v>
      </c>
      <c r="D252" t="s">
        <v>17</v>
      </c>
      <c r="E252">
        <v>6002</v>
      </c>
      <c r="F252">
        <v>10001</v>
      </c>
      <c r="G252">
        <v>52.43</v>
      </c>
      <c r="H252">
        <v>0.52427175937688875</v>
      </c>
      <c r="I252" t="s">
        <v>70</v>
      </c>
      <c r="J252">
        <f t="shared" si="15"/>
        <v>0.52427175937688875</v>
      </c>
      <c r="K252" t="str">
        <f t="shared" si="16"/>
        <v>50~55</v>
      </c>
      <c r="L252" t="str">
        <f t="shared" si="17"/>
        <v>HOME</v>
      </c>
      <c r="M252">
        <f t="shared" si="18"/>
        <v>0.22631735892636085</v>
      </c>
      <c r="N252">
        <v>1</v>
      </c>
      <c r="O252">
        <f t="shared" si="19"/>
        <v>1</v>
      </c>
    </row>
    <row r="253" spans="1:15" x14ac:dyDescent="0.6">
      <c r="A253">
        <v>20260297</v>
      </c>
      <c r="B253" t="s">
        <v>86</v>
      </c>
      <c r="C253" t="s">
        <v>19</v>
      </c>
      <c r="D253" t="s">
        <v>24</v>
      </c>
      <c r="E253">
        <v>9002</v>
      </c>
      <c r="F253">
        <v>12001</v>
      </c>
      <c r="G253">
        <v>78.13</v>
      </c>
      <c r="H253">
        <v>0.78126973126530785</v>
      </c>
      <c r="I253" t="s">
        <v>70</v>
      </c>
      <c r="J253">
        <f t="shared" si="15"/>
        <v>0.78126973126530785</v>
      </c>
      <c r="K253" t="str">
        <f t="shared" si="16"/>
        <v>70~100</v>
      </c>
      <c r="L253" t="str">
        <f t="shared" si="17"/>
        <v>HOME</v>
      </c>
      <c r="M253">
        <f t="shared" si="18"/>
        <v>4.7842930460750645E-2</v>
      </c>
      <c r="N253">
        <v>1</v>
      </c>
      <c r="O253">
        <f t="shared" si="19"/>
        <v>1</v>
      </c>
    </row>
    <row r="254" spans="1:15" x14ac:dyDescent="0.6">
      <c r="A254">
        <v>20260298</v>
      </c>
      <c r="B254" t="s">
        <v>86</v>
      </c>
      <c r="C254" t="s">
        <v>21</v>
      </c>
      <c r="D254" t="s">
        <v>22</v>
      </c>
      <c r="E254">
        <v>2002</v>
      </c>
      <c r="F254">
        <v>1001</v>
      </c>
      <c r="G254">
        <v>57.45</v>
      </c>
      <c r="H254">
        <v>0.57450126616367947</v>
      </c>
      <c r="I254" t="s">
        <v>70</v>
      </c>
      <c r="J254">
        <f t="shared" si="15"/>
        <v>0.57450126616367947</v>
      </c>
      <c r="K254" t="str">
        <f t="shared" si="16"/>
        <v>55~60</v>
      </c>
      <c r="L254" t="str">
        <f t="shared" si="17"/>
        <v>HOME</v>
      </c>
      <c r="M254">
        <f t="shared" si="18"/>
        <v>0.18104917249631194</v>
      </c>
      <c r="N254">
        <v>1</v>
      </c>
      <c r="O254">
        <f t="shared" si="19"/>
        <v>1</v>
      </c>
    </row>
    <row r="255" spans="1:15" x14ac:dyDescent="0.6">
      <c r="A255">
        <v>20260299</v>
      </c>
      <c r="B255" t="s">
        <v>86</v>
      </c>
      <c r="C255" t="s">
        <v>23</v>
      </c>
      <c r="D255" t="s">
        <v>20</v>
      </c>
      <c r="E255">
        <v>3001</v>
      </c>
      <c r="F255">
        <v>7002</v>
      </c>
      <c r="G255">
        <v>40.119999999999997</v>
      </c>
      <c r="H255">
        <v>0.40115056981835812</v>
      </c>
      <c r="I255" t="s">
        <v>70</v>
      </c>
      <c r="J255">
        <f t="shared" si="15"/>
        <v>0.59884943018164183</v>
      </c>
      <c r="K255" t="str">
        <f t="shared" si="16"/>
        <v>55~60</v>
      </c>
      <c r="L255" t="str">
        <f t="shared" si="17"/>
        <v>AWAY</v>
      </c>
      <c r="M255">
        <f t="shared" si="18"/>
        <v>0.35862064002887711</v>
      </c>
      <c r="N255">
        <v>0</v>
      </c>
      <c r="O255">
        <f t="shared" si="19"/>
        <v>1</v>
      </c>
    </row>
    <row r="256" spans="1:15" x14ac:dyDescent="0.6">
      <c r="A256">
        <v>20260300</v>
      </c>
      <c r="B256" t="s">
        <v>86</v>
      </c>
      <c r="C256" t="s">
        <v>27</v>
      </c>
      <c r="D256" t="s">
        <v>28</v>
      </c>
      <c r="E256">
        <v>11001</v>
      </c>
      <c r="F256">
        <v>5002</v>
      </c>
      <c r="G256">
        <v>47.67</v>
      </c>
      <c r="H256">
        <v>0.47670658193301818</v>
      </c>
      <c r="I256" t="s">
        <v>70</v>
      </c>
      <c r="J256">
        <f t="shared" si="15"/>
        <v>0.52329341806698182</v>
      </c>
      <c r="K256" t="str">
        <f t="shared" si="16"/>
        <v>50~55</v>
      </c>
      <c r="L256" t="str">
        <f t="shared" si="17"/>
        <v>AWAY</v>
      </c>
      <c r="M256">
        <f t="shared" si="18"/>
        <v>0.27383600139222503</v>
      </c>
      <c r="N256">
        <v>0</v>
      </c>
      <c r="O256">
        <f t="shared" si="19"/>
        <v>1</v>
      </c>
    </row>
    <row r="257" spans="1:15" x14ac:dyDescent="0.6">
      <c r="A257">
        <v>20260302</v>
      </c>
      <c r="B257" t="s">
        <v>87</v>
      </c>
      <c r="C257" t="s">
        <v>19</v>
      </c>
      <c r="D257" t="s">
        <v>24</v>
      </c>
      <c r="E257">
        <v>9002</v>
      </c>
      <c r="F257">
        <v>12001</v>
      </c>
      <c r="G257">
        <v>53.2</v>
      </c>
      <c r="H257">
        <v>0.53200138759200843</v>
      </c>
      <c r="I257" t="s">
        <v>70</v>
      </c>
      <c r="J257">
        <f t="shared" si="15"/>
        <v>0.53200138759200843</v>
      </c>
      <c r="K257" t="str">
        <f t="shared" si="16"/>
        <v>50~55</v>
      </c>
      <c r="L257" t="str">
        <f t="shared" si="17"/>
        <v>HOME</v>
      </c>
      <c r="M257">
        <f t="shared" si="18"/>
        <v>0.2830254763998224</v>
      </c>
      <c r="N257">
        <v>0</v>
      </c>
      <c r="O257">
        <f t="shared" si="19"/>
        <v>0</v>
      </c>
    </row>
    <row r="258" spans="1:15" x14ac:dyDescent="0.6">
      <c r="A258">
        <v>20260301</v>
      </c>
      <c r="B258" t="s">
        <v>87</v>
      </c>
      <c r="C258" t="s">
        <v>16</v>
      </c>
      <c r="D258" t="s">
        <v>17</v>
      </c>
      <c r="E258">
        <v>6002</v>
      </c>
      <c r="F258">
        <v>10001</v>
      </c>
      <c r="G258">
        <v>43.23</v>
      </c>
      <c r="H258">
        <v>0.43229028560248373</v>
      </c>
      <c r="I258" t="s">
        <v>70</v>
      </c>
      <c r="J258">
        <f t="shared" ref="J258:J321" si="20">MAX(H258,1-H258)</f>
        <v>0.56770971439751627</v>
      </c>
      <c r="K258" t="str">
        <f t="shared" ref="K258:K321" si="21">_xlfn.IFS(
J258&lt;=0.55,"50~55",
J258&lt;=0.6,"55~60",
J258&lt;=0.65,"60~65",
J258&lt;=0.7,"65~70",
TRUE,"70~100"
)</f>
        <v>55~60</v>
      </c>
      <c r="L258" t="str">
        <f t="shared" ref="L258:L321" si="22">IF(H258&gt;=0.5,"HOME","AWAY")</f>
        <v>AWAY</v>
      </c>
      <c r="M258">
        <f t="shared" ref="M258:M321" si="23">IF(AND(N258&lt;&gt;"", OR(N258=0, N258=1)), (J258-N258)^2, "")</f>
        <v>0.18687489102627694</v>
      </c>
      <c r="N258">
        <v>1</v>
      </c>
      <c r="O258">
        <f t="shared" ref="O258:O321" si="24">IF(AND(N258&lt;&gt;"", OR(N258=0, N258=1)), IF(ROUND(H258,0)=N258, 1, 0), "")</f>
        <v>0</v>
      </c>
    </row>
    <row r="259" spans="1:15" x14ac:dyDescent="0.6">
      <c r="A259">
        <v>20260303</v>
      </c>
      <c r="B259" t="s">
        <v>87</v>
      </c>
      <c r="C259" t="s">
        <v>21</v>
      </c>
      <c r="D259" t="s">
        <v>22</v>
      </c>
      <c r="E259">
        <v>2002</v>
      </c>
      <c r="F259">
        <v>1001</v>
      </c>
      <c r="G259">
        <v>45.12</v>
      </c>
      <c r="H259">
        <v>0.45123517649148898</v>
      </c>
      <c r="I259" t="s">
        <v>70</v>
      </c>
      <c r="J259">
        <f t="shared" si="20"/>
        <v>0.54876482350851097</v>
      </c>
      <c r="K259" t="str">
        <f t="shared" si="21"/>
        <v>50~55</v>
      </c>
      <c r="L259" t="str">
        <f t="shared" si="22"/>
        <v>AWAY</v>
      </c>
      <c r="M259">
        <f t="shared" si="23"/>
        <v>0.30114283152032717</v>
      </c>
      <c r="N259">
        <v>0</v>
      </c>
      <c r="O259">
        <f t="shared" si="24"/>
        <v>1</v>
      </c>
    </row>
    <row r="260" spans="1:15" x14ac:dyDescent="0.6">
      <c r="A260">
        <v>20260304</v>
      </c>
      <c r="B260" t="s">
        <v>87</v>
      </c>
      <c r="C260" t="s">
        <v>23</v>
      </c>
      <c r="D260" t="s">
        <v>20</v>
      </c>
      <c r="E260">
        <v>3001</v>
      </c>
      <c r="F260">
        <v>7002</v>
      </c>
      <c r="G260">
        <v>30.73</v>
      </c>
      <c r="H260">
        <v>0.30730931242563242</v>
      </c>
      <c r="I260" t="s">
        <v>70</v>
      </c>
      <c r="J260">
        <f t="shared" si="20"/>
        <v>0.69269068757436758</v>
      </c>
      <c r="K260" t="str">
        <f t="shared" si="21"/>
        <v>65~70</v>
      </c>
      <c r="L260" t="str">
        <f t="shared" si="22"/>
        <v>AWAY</v>
      </c>
      <c r="M260">
        <f t="shared" si="23"/>
        <v>0.47982038865225013</v>
      </c>
      <c r="N260">
        <v>0</v>
      </c>
      <c r="O260">
        <f t="shared" si="24"/>
        <v>1</v>
      </c>
    </row>
    <row r="261" spans="1:15" x14ac:dyDescent="0.6">
      <c r="A261">
        <v>20260305</v>
      </c>
      <c r="B261" t="s">
        <v>87</v>
      </c>
      <c r="C261" t="s">
        <v>27</v>
      </c>
      <c r="D261" t="s">
        <v>28</v>
      </c>
      <c r="E261">
        <v>11001</v>
      </c>
      <c r="F261">
        <v>5002</v>
      </c>
      <c r="G261">
        <v>36.049999999999997</v>
      </c>
      <c r="H261">
        <v>0.36050806923245249</v>
      </c>
      <c r="I261" t="s">
        <v>70</v>
      </c>
      <c r="J261">
        <f t="shared" si="20"/>
        <v>0.63949193076754751</v>
      </c>
      <c r="K261" t="str">
        <f t="shared" si="21"/>
        <v>60~65</v>
      </c>
      <c r="L261" t="str">
        <f t="shared" si="22"/>
        <v>AWAY</v>
      </c>
      <c r="M261">
        <f t="shared" si="23"/>
        <v>0.12996606798171076</v>
      </c>
      <c r="N261">
        <v>1</v>
      </c>
      <c r="O261">
        <f t="shared" si="24"/>
        <v>0</v>
      </c>
    </row>
    <row r="262" spans="1:15" x14ac:dyDescent="0.6">
      <c r="A262">
        <v>20260306</v>
      </c>
      <c r="B262" t="s">
        <v>88</v>
      </c>
      <c r="C262" t="s">
        <v>16</v>
      </c>
      <c r="D262" t="s">
        <v>17</v>
      </c>
      <c r="E262">
        <v>6002</v>
      </c>
      <c r="F262">
        <v>10001</v>
      </c>
      <c r="G262">
        <v>61.02</v>
      </c>
      <c r="H262">
        <v>0.61019126829120107</v>
      </c>
      <c r="I262" t="s">
        <v>70</v>
      </c>
      <c r="J262">
        <f t="shared" si="20"/>
        <v>0.61019126829120107</v>
      </c>
      <c r="K262" t="str">
        <f t="shared" si="21"/>
        <v>60~65</v>
      </c>
      <c r="L262" t="str">
        <f t="shared" si="22"/>
        <v>HOME</v>
      </c>
      <c r="M262">
        <f t="shared" si="23"/>
        <v>0.37233338389882453</v>
      </c>
      <c r="N262">
        <v>0</v>
      </c>
      <c r="O262">
        <f t="shared" si="24"/>
        <v>0</v>
      </c>
    </row>
    <row r="263" spans="1:15" x14ac:dyDescent="0.6">
      <c r="A263">
        <v>20260307</v>
      </c>
      <c r="B263" t="s">
        <v>88</v>
      </c>
      <c r="C263" t="s">
        <v>19</v>
      </c>
      <c r="D263" t="s">
        <v>24</v>
      </c>
      <c r="E263">
        <v>9002</v>
      </c>
      <c r="F263">
        <v>12001</v>
      </c>
      <c r="G263">
        <v>33.51</v>
      </c>
      <c r="H263">
        <v>0.33514219018647429</v>
      </c>
      <c r="I263" t="s">
        <v>70</v>
      </c>
      <c r="J263">
        <f t="shared" si="20"/>
        <v>0.66485780981352571</v>
      </c>
      <c r="K263" t="str">
        <f t="shared" si="21"/>
        <v>65~70</v>
      </c>
      <c r="L263" t="str">
        <f t="shared" si="22"/>
        <v>AWAY</v>
      </c>
      <c r="M263">
        <f t="shared" si="23"/>
        <v>0.1123202876429869</v>
      </c>
      <c r="N263">
        <v>1</v>
      </c>
      <c r="O263">
        <f t="shared" si="24"/>
        <v>0</v>
      </c>
    </row>
    <row r="264" spans="1:15" x14ac:dyDescent="0.6">
      <c r="A264">
        <v>20260308</v>
      </c>
      <c r="B264" t="s">
        <v>88</v>
      </c>
      <c r="C264" t="s">
        <v>21</v>
      </c>
      <c r="D264" t="s">
        <v>22</v>
      </c>
      <c r="E264">
        <v>2002</v>
      </c>
      <c r="F264">
        <v>1001</v>
      </c>
      <c r="G264">
        <v>47.84</v>
      </c>
      <c r="H264">
        <v>0.47843825343884983</v>
      </c>
      <c r="I264" t="s">
        <v>70</v>
      </c>
      <c r="J264">
        <f t="shared" si="20"/>
        <v>0.52156174656115017</v>
      </c>
      <c r="K264" t="str">
        <f t="shared" si="21"/>
        <v>50~55</v>
      </c>
      <c r="L264" t="str">
        <f t="shared" si="22"/>
        <v>AWAY</v>
      </c>
      <c r="M264">
        <f t="shared" si="23"/>
        <v>0.2289031623536171</v>
      </c>
      <c r="N264">
        <v>1</v>
      </c>
      <c r="O264">
        <f t="shared" si="24"/>
        <v>0</v>
      </c>
    </row>
    <row r="265" spans="1:15" x14ac:dyDescent="0.6">
      <c r="A265">
        <v>20260309</v>
      </c>
      <c r="B265" t="s">
        <v>88</v>
      </c>
      <c r="C265" t="s">
        <v>23</v>
      </c>
      <c r="D265" t="s">
        <v>20</v>
      </c>
      <c r="E265">
        <v>3001</v>
      </c>
      <c r="F265">
        <v>7002</v>
      </c>
      <c r="G265">
        <v>55.62</v>
      </c>
      <c r="H265">
        <v>0.55616581209621574</v>
      </c>
      <c r="I265" t="s">
        <v>70</v>
      </c>
      <c r="J265">
        <f t="shared" si="20"/>
        <v>0.55616581209621574</v>
      </c>
      <c r="K265" t="str">
        <f t="shared" si="21"/>
        <v>55~60</v>
      </c>
      <c r="L265" t="str">
        <f t="shared" si="22"/>
        <v>HOME</v>
      </c>
      <c r="M265">
        <f t="shared" si="23"/>
        <v>0.30932041054464315</v>
      </c>
      <c r="N265">
        <v>0</v>
      </c>
      <c r="O265">
        <f t="shared" si="24"/>
        <v>0</v>
      </c>
    </row>
    <row r="266" spans="1:15" x14ac:dyDescent="0.6">
      <c r="A266">
        <v>20260310</v>
      </c>
      <c r="B266" t="s">
        <v>88</v>
      </c>
      <c r="C266" t="s">
        <v>27</v>
      </c>
      <c r="D266" t="s">
        <v>28</v>
      </c>
      <c r="E266">
        <v>11001</v>
      </c>
      <c r="F266">
        <v>5002</v>
      </c>
      <c r="G266">
        <v>40.47</v>
      </c>
      <c r="H266">
        <v>0.40472721791412769</v>
      </c>
      <c r="I266" t="s">
        <v>70</v>
      </c>
      <c r="J266">
        <f t="shared" si="20"/>
        <v>0.59527278208587231</v>
      </c>
      <c r="K266" t="str">
        <f t="shared" si="21"/>
        <v>55~60</v>
      </c>
      <c r="L266" t="str">
        <f t="shared" si="22"/>
        <v>AWAY</v>
      </c>
      <c r="M266">
        <f t="shared" si="23"/>
        <v>0.1638041209205098</v>
      </c>
      <c r="N266">
        <v>1</v>
      </c>
      <c r="O266">
        <f t="shared" si="24"/>
        <v>0</v>
      </c>
    </row>
    <row r="267" spans="1:15" x14ac:dyDescent="0.6">
      <c r="A267">
        <v>20260311</v>
      </c>
      <c r="B267" t="s">
        <v>89</v>
      </c>
      <c r="C267" t="s">
        <v>28</v>
      </c>
      <c r="D267" t="s">
        <v>19</v>
      </c>
      <c r="E267">
        <v>5002</v>
      </c>
      <c r="F267">
        <v>9002</v>
      </c>
      <c r="G267">
        <v>60.75</v>
      </c>
      <c r="H267">
        <v>0.60749997090173213</v>
      </c>
      <c r="I267" t="s">
        <v>70</v>
      </c>
      <c r="J267">
        <f t="shared" si="20"/>
        <v>0.60749997090173213</v>
      </c>
      <c r="K267" t="str">
        <f t="shared" si="21"/>
        <v>60~65</v>
      </c>
      <c r="L267" t="str">
        <f t="shared" si="22"/>
        <v>HOME</v>
      </c>
      <c r="M267">
        <f t="shared" si="23"/>
        <v>0.15405627284214113</v>
      </c>
      <c r="N267">
        <v>1</v>
      </c>
      <c r="O267">
        <f t="shared" si="24"/>
        <v>1</v>
      </c>
    </row>
    <row r="268" spans="1:15" x14ac:dyDescent="0.6">
      <c r="A268">
        <v>20260312</v>
      </c>
      <c r="B268" t="s">
        <v>89</v>
      </c>
      <c r="C268" t="s">
        <v>17</v>
      </c>
      <c r="D268" t="s">
        <v>27</v>
      </c>
      <c r="E268">
        <v>10001</v>
      </c>
      <c r="F268">
        <v>11001</v>
      </c>
      <c r="G268">
        <v>63.7</v>
      </c>
      <c r="H268">
        <v>0.63696183223046532</v>
      </c>
      <c r="I268" t="s">
        <v>70</v>
      </c>
      <c r="J268">
        <f t="shared" si="20"/>
        <v>0.63696183223046532</v>
      </c>
      <c r="K268" t="str">
        <f t="shared" si="21"/>
        <v>60~65</v>
      </c>
      <c r="L268" t="str">
        <f t="shared" si="22"/>
        <v>HOME</v>
      </c>
      <c r="M268">
        <f t="shared" si="23"/>
        <v>0.13179671125746081</v>
      </c>
      <c r="N268">
        <v>1</v>
      </c>
      <c r="O268">
        <f t="shared" si="24"/>
        <v>1</v>
      </c>
    </row>
    <row r="269" spans="1:15" x14ac:dyDescent="0.6">
      <c r="A269">
        <v>20260313</v>
      </c>
      <c r="B269" t="s">
        <v>89</v>
      </c>
      <c r="C269" t="s">
        <v>24</v>
      </c>
      <c r="D269" t="s">
        <v>22</v>
      </c>
      <c r="E269">
        <v>12001</v>
      </c>
      <c r="F269">
        <v>1001</v>
      </c>
      <c r="G269">
        <v>50</v>
      </c>
      <c r="H269">
        <v>0.49999596895199783</v>
      </c>
      <c r="I269" t="s">
        <v>70</v>
      </c>
      <c r="J269">
        <f t="shared" si="20"/>
        <v>0.50000403104800217</v>
      </c>
      <c r="K269" t="str">
        <f t="shared" si="21"/>
        <v>50~55</v>
      </c>
      <c r="L269" t="str">
        <f t="shared" si="22"/>
        <v>AWAY</v>
      </c>
      <c r="M269">
        <f t="shared" si="23"/>
        <v>0.24999596896824716</v>
      </c>
      <c r="N269">
        <v>1</v>
      </c>
      <c r="O269">
        <f t="shared" si="24"/>
        <v>0</v>
      </c>
    </row>
    <row r="270" spans="1:15" x14ac:dyDescent="0.6">
      <c r="A270">
        <v>20260314</v>
      </c>
      <c r="B270" t="s">
        <v>89</v>
      </c>
      <c r="C270" t="s">
        <v>20</v>
      </c>
      <c r="D270" t="s">
        <v>21</v>
      </c>
      <c r="E270">
        <v>7002</v>
      </c>
      <c r="F270">
        <v>2002</v>
      </c>
      <c r="G270">
        <v>57.92</v>
      </c>
      <c r="H270">
        <v>0.57924402171962863</v>
      </c>
      <c r="I270" t="s">
        <v>70</v>
      </c>
      <c r="J270">
        <f t="shared" si="20"/>
        <v>0.57924402171962863</v>
      </c>
      <c r="K270" t="str">
        <f t="shared" si="21"/>
        <v>55~60</v>
      </c>
      <c r="L270" t="str">
        <f t="shared" si="22"/>
        <v>HOME</v>
      </c>
      <c r="M270">
        <f t="shared" si="23"/>
        <v>0.33552363669792962</v>
      </c>
      <c r="N270">
        <v>0</v>
      </c>
      <c r="O270">
        <f t="shared" si="24"/>
        <v>0</v>
      </c>
    </row>
    <row r="271" spans="1:15" x14ac:dyDescent="0.6">
      <c r="A271">
        <v>20260315</v>
      </c>
      <c r="B271" t="s">
        <v>89</v>
      </c>
      <c r="C271" t="s">
        <v>23</v>
      </c>
      <c r="D271" t="s">
        <v>16</v>
      </c>
      <c r="E271">
        <v>3001</v>
      </c>
      <c r="F271">
        <v>6002</v>
      </c>
      <c r="G271">
        <v>33.770000000000003</v>
      </c>
      <c r="H271">
        <v>0.33766326095470067</v>
      </c>
      <c r="I271" t="s">
        <v>70</v>
      </c>
      <c r="J271">
        <f t="shared" si="20"/>
        <v>0.66233673904529933</v>
      </c>
      <c r="K271" t="str">
        <f t="shared" si="21"/>
        <v>65~70</v>
      </c>
      <c r="L271" t="str">
        <f t="shared" si="22"/>
        <v>AWAY</v>
      </c>
      <c r="M271">
        <f t="shared" si="23"/>
        <v>0.43868995588916093</v>
      </c>
      <c r="N271">
        <v>0</v>
      </c>
      <c r="O271">
        <f t="shared" si="24"/>
        <v>1</v>
      </c>
    </row>
    <row r="272" spans="1:15" x14ac:dyDescent="0.6">
      <c r="A272">
        <v>20260316</v>
      </c>
      <c r="B272" t="s">
        <v>90</v>
      </c>
      <c r="C272" t="s">
        <v>28</v>
      </c>
      <c r="D272" t="s">
        <v>19</v>
      </c>
      <c r="E272">
        <v>5002</v>
      </c>
      <c r="F272">
        <v>9002</v>
      </c>
      <c r="G272">
        <v>65.349999999999994</v>
      </c>
      <c r="H272">
        <v>0.65354551140984063</v>
      </c>
      <c r="I272" t="s">
        <v>78</v>
      </c>
      <c r="J272">
        <f t="shared" si="20"/>
        <v>0.65354551140984063</v>
      </c>
      <c r="K272" t="str">
        <f t="shared" si="21"/>
        <v>65~70</v>
      </c>
      <c r="L272" t="str">
        <f t="shared" si="22"/>
        <v>HOME</v>
      </c>
      <c r="M272">
        <f t="shared" si="23"/>
        <v>0.12003071266426887</v>
      </c>
      <c r="N272">
        <v>1</v>
      </c>
      <c r="O272">
        <f t="shared" si="24"/>
        <v>1</v>
      </c>
    </row>
    <row r="273" spans="1:15" x14ac:dyDescent="0.6">
      <c r="A273">
        <v>20260317</v>
      </c>
      <c r="B273" t="s">
        <v>90</v>
      </c>
      <c r="C273" t="s">
        <v>17</v>
      </c>
      <c r="D273" t="s">
        <v>27</v>
      </c>
      <c r="E273">
        <v>10001</v>
      </c>
      <c r="F273">
        <v>11001</v>
      </c>
      <c r="G273">
        <v>30.78</v>
      </c>
      <c r="H273">
        <v>0.30776578031931578</v>
      </c>
      <c r="I273" t="s">
        <v>78</v>
      </c>
      <c r="J273">
        <f t="shared" si="20"/>
        <v>0.69223421968068422</v>
      </c>
      <c r="K273" t="str">
        <f t="shared" si="21"/>
        <v>65~70</v>
      </c>
      <c r="L273" t="str">
        <f t="shared" si="22"/>
        <v>AWAY</v>
      </c>
      <c r="M273">
        <f t="shared" si="23"/>
        <v>0.47918821489692576</v>
      </c>
      <c r="N273">
        <v>0</v>
      </c>
      <c r="O273">
        <f t="shared" si="24"/>
        <v>1</v>
      </c>
    </row>
    <row r="274" spans="1:15" x14ac:dyDescent="0.6">
      <c r="A274">
        <v>20260318</v>
      </c>
      <c r="B274" t="s">
        <v>90</v>
      </c>
      <c r="C274" t="s">
        <v>24</v>
      </c>
      <c r="D274" t="s">
        <v>22</v>
      </c>
      <c r="E274">
        <v>12001</v>
      </c>
      <c r="F274">
        <v>1001</v>
      </c>
      <c r="G274">
        <v>36.549999999999997</v>
      </c>
      <c r="H274">
        <v>0.36546076989503179</v>
      </c>
      <c r="I274" t="s">
        <v>78</v>
      </c>
      <c r="J274">
        <f t="shared" si="20"/>
        <v>0.63453923010496815</v>
      </c>
      <c r="K274" t="str">
        <f t="shared" si="21"/>
        <v>60~65</v>
      </c>
      <c r="L274" t="str">
        <f t="shared" si="22"/>
        <v>AWAY</v>
      </c>
      <c r="M274">
        <f t="shared" si="23"/>
        <v>0.13356157433226942</v>
      </c>
      <c r="N274">
        <v>1</v>
      </c>
      <c r="O274">
        <f t="shared" si="24"/>
        <v>0</v>
      </c>
    </row>
    <row r="275" spans="1:15" x14ac:dyDescent="0.6">
      <c r="A275">
        <v>20260319</v>
      </c>
      <c r="B275" t="s">
        <v>90</v>
      </c>
      <c r="C275" t="s">
        <v>20</v>
      </c>
      <c r="D275" t="s">
        <v>21</v>
      </c>
      <c r="E275">
        <v>7002</v>
      </c>
      <c r="F275">
        <v>2002</v>
      </c>
      <c r="G275">
        <v>44.2</v>
      </c>
      <c r="H275">
        <v>0.44199124718209132</v>
      </c>
      <c r="I275" t="s">
        <v>78</v>
      </c>
      <c r="J275">
        <f t="shared" si="20"/>
        <v>0.55800875281790874</v>
      </c>
      <c r="K275" t="str">
        <f t="shared" si="21"/>
        <v>55~60</v>
      </c>
      <c r="L275" t="str">
        <f t="shared" si="22"/>
        <v>AWAY</v>
      </c>
      <c r="M275">
        <f t="shared" si="23"/>
        <v>0.1953562625855805</v>
      </c>
      <c r="N275">
        <v>1</v>
      </c>
      <c r="O275">
        <f t="shared" si="24"/>
        <v>0</v>
      </c>
    </row>
    <row r="276" spans="1:15" x14ac:dyDescent="0.6">
      <c r="A276">
        <v>20260320</v>
      </c>
      <c r="B276" t="s">
        <v>90</v>
      </c>
      <c r="C276" t="s">
        <v>23</v>
      </c>
      <c r="D276" t="s">
        <v>16</v>
      </c>
      <c r="E276">
        <v>3001</v>
      </c>
      <c r="F276">
        <v>6002</v>
      </c>
      <c r="G276">
        <v>44.61</v>
      </c>
      <c r="H276">
        <v>0.44611647607524041</v>
      </c>
      <c r="I276" t="s">
        <v>78</v>
      </c>
      <c r="J276">
        <f t="shared" si="20"/>
        <v>0.55388352392475959</v>
      </c>
      <c r="K276" t="str">
        <f t="shared" si="21"/>
        <v>55~60</v>
      </c>
      <c r="L276" t="str">
        <f t="shared" si="22"/>
        <v>AWAY</v>
      </c>
      <c r="M276">
        <f t="shared" si="23"/>
        <v>0.19901991022579055</v>
      </c>
      <c r="N276">
        <v>1</v>
      </c>
      <c r="O276">
        <f t="shared" si="24"/>
        <v>0</v>
      </c>
    </row>
    <row r="277" spans="1:15" x14ac:dyDescent="0.6">
      <c r="A277">
        <v>20260321</v>
      </c>
      <c r="B277" t="s">
        <v>91</v>
      </c>
      <c r="C277" t="s">
        <v>28</v>
      </c>
      <c r="D277" t="s">
        <v>19</v>
      </c>
      <c r="E277">
        <v>5002</v>
      </c>
      <c r="F277">
        <v>9002</v>
      </c>
      <c r="G277">
        <v>43.74</v>
      </c>
      <c r="H277">
        <v>0.43737937806624172</v>
      </c>
      <c r="I277" t="s">
        <v>78</v>
      </c>
      <c r="J277">
        <f t="shared" si="20"/>
        <v>0.56262062193375828</v>
      </c>
      <c r="K277" t="str">
        <f t="shared" si="21"/>
        <v>55~60</v>
      </c>
      <c r="L277" t="str">
        <f t="shared" si="22"/>
        <v>AWAY</v>
      </c>
      <c r="M277">
        <f t="shared" si="23"/>
        <v>0.19130072035761242</v>
      </c>
      <c r="N277">
        <v>1</v>
      </c>
      <c r="O277">
        <f t="shared" si="24"/>
        <v>0</v>
      </c>
    </row>
    <row r="278" spans="1:15" x14ac:dyDescent="0.6">
      <c r="A278">
        <v>20260322</v>
      </c>
      <c r="B278" t="s">
        <v>91</v>
      </c>
      <c r="C278" t="s">
        <v>17</v>
      </c>
      <c r="D278" t="s">
        <v>27</v>
      </c>
      <c r="E278">
        <v>10001</v>
      </c>
      <c r="F278">
        <v>11001</v>
      </c>
      <c r="G278">
        <v>30.15</v>
      </c>
      <c r="H278">
        <v>0.30151046637473172</v>
      </c>
      <c r="I278" t="s">
        <v>78</v>
      </c>
      <c r="J278">
        <f t="shared" si="20"/>
        <v>0.69848953362526833</v>
      </c>
      <c r="K278" t="str">
        <f t="shared" si="21"/>
        <v>65~70</v>
      </c>
      <c r="L278" t="str">
        <f t="shared" si="22"/>
        <v>AWAY</v>
      </c>
      <c r="M278">
        <f t="shared" si="23"/>
        <v>0.48788762858404489</v>
      </c>
      <c r="N278">
        <v>0</v>
      </c>
      <c r="O278">
        <f t="shared" si="24"/>
        <v>1</v>
      </c>
    </row>
    <row r="279" spans="1:15" x14ac:dyDescent="0.6">
      <c r="A279">
        <v>20260323</v>
      </c>
      <c r="B279" t="s">
        <v>91</v>
      </c>
      <c r="C279" t="s">
        <v>24</v>
      </c>
      <c r="D279" t="s">
        <v>22</v>
      </c>
      <c r="E279">
        <v>12001</v>
      </c>
      <c r="F279">
        <v>1001</v>
      </c>
      <c r="G279">
        <v>37.049999999999997</v>
      </c>
      <c r="H279">
        <v>0.37046651147022952</v>
      </c>
      <c r="I279" t="s">
        <v>78</v>
      </c>
      <c r="J279">
        <f t="shared" si="20"/>
        <v>0.62953348852977054</v>
      </c>
      <c r="K279" t="str">
        <f t="shared" si="21"/>
        <v>60~65</v>
      </c>
      <c r="L279" t="str">
        <f t="shared" si="22"/>
        <v>AWAY</v>
      </c>
      <c r="M279">
        <f t="shared" si="23"/>
        <v>0.39631241318046273</v>
      </c>
      <c r="N279">
        <v>0</v>
      </c>
      <c r="O279">
        <f t="shared" si="24"/>
        <v>1</v>
      </c>
    </row>
    <row r="280" spans="1:15" x14ac:dyDescent="0.6">
      <c r="A280">
        <v>20260324</v>
      </c>
      <c r="B280" t="s">
        <v>91</v>
      </c>
      <c r="C280" t="s">
        <v>20</v>
      </c>
      <c r="D280" t="s">
        <v>21</v>
      </c>
      <c r="E280">
        <v>7002</v>
      </c>
      <c r="F280">
        <v>2002</v>
      </c>
      <c r="G280">
        <v>42.32</v>
      </c>
      <c r="H280">
        <v>0.42323993602170229</v>
      </c>
      <c r="I280" t="s">
        <v>78</v>
      </c>
      <c r="J280">
        <f t="shared" si="20"/>
        <v>0.57676006397829771</v>
      </c>
      <c r="K280" t="str">
        <f t="shared" si="21"/>
        <v>55~60</v>
      </c>
      <c r="L280" t="str">
        <f t="shared" si="22"/>
        <v>AWAY</v>
      </c>
      <c r="M280">
        <f t="shared" si="23"/>
        <v>0.17913204344365466</v>
      </c>
      <c r="N280">
        <v>1</v>
      </c>
      <c r="O280">
        <f t="shared" si="24"/>
        <v>0</v>
      </c>
    </row>
    <row r="281" spans="1:15" x14ac:dyDescent="0.6">
      <c r="A281">
        <v>20260325</v>
      </c>
      <c r="B281" t="s">
        <v>91</v>
      </c>
      <c r="C281" t="s">
        <v>23</v>
      </c>
      <c r="D281" t="s">
        <v>16</v>
      </c>
      <c r="E281">
        <v>3001</v>
      </c>
      <c r="F281">
        <v>6002</v>
      </c>
      <c r="G281">
        <v>52.52</v>
      </c>
      <c r="H281">
        <v>0.52520136019777752</v>
      </c>
      <c r="I281" t="s">
        <v>78</v>
      </c>
      <c r="J281">
        <f t="shared" si="20"/>
        <v>0.52520136019777752</v>
      </c>
      <c r="K281" t="str">
        <f t="shared" si="21"/>
        <v>50~55</v>
      </c>
      <c r="L281" t="str">
        <f t="shared" si="22"/>
        <v>HOME</v>
      </c>
      <c r="M281">
        <f t="shared" si="23"/>
        <v>0.27583646875359563</v>
      </c>
      <c r="N281">
        <v>0</v>
      </c>
      <c r="O281">
        <f t="shared" si="24"/>
        <v>0</v>
      </c>
    </row>
    <row r="282" spans="1:15" x14ac:dyDescent="0.6">
      <c r="A282">
        <v>20260326</v>
      </c>
      <c r="B282" t="s">
        <v>92</v>
      </c>
      <c r="C282" t="s">
        <v>28</v>
      </c>
      <c r="D282" t="s">
        <v>23</v>
      </c>
      <c r="E282">
        <v>5002</v>
      </c>
      <c r="F282">
        <v>3001</v>
      </c>
      <c r="G282">
        <v>59.76</v>
      </c>
      <c r="H282">
        <v>0.59761603854801848</v>
      </c>
      <c r="I282" t="s">
        <v>78</v>
      </c>
      <c r="J282">
        <f t="shared" si="20"/>
        <v>0.59761603854801848</v>
      </c>
      <c r="K282" t="str">
        <f t="shared" si="21"/>
        <v>55~60</v>
      </c>
      <c r="L282" t="str">
        <f t="shared" si="22"/>
        <v>HOME</v>
      </c>
      <c r="M282">
        <f t="shared" si="23"/>
        <v>0.35714492952982668</v>
      </c>
      <c r="N282">
        <v>0</v>
      </c>
      <c r="O282">
        <f t="shared" si="24"/>
        <v>0</v>
      </c>
    </row>
    <row r="283" spans="1:15" x14ac:dyDescent="0.6">
      <c r="A283">
        <v>20260327</v>
      </c>
      <c r="B283" t="s">
        <v>92</v>
      </c>
      <c r="C283" t="s">
        <v>17</v>
      </c>
      <c r="D283" t="s">
        <v>20</v>
      </c>
      <c r="E283">
        <v>10001</v>
      </c>
      <c r="F283">
        <v>7002</v>
      </c>
      <c r="G283">
        <v>38.6</v>
      </c>
      <c r="H283">
        <v>0.38597572523045409</v>
      </c>
      <c r="I283" t="s">
        <v>78</v>
      </c>
      <c r="J283">
        <f t="shared" si="20"/>
        <v>0.61402427476954591</v>
      </c>
      <c r="K283" t="str">
        <f t="shared" si="21"/>
        <v>60~65</v>
      </c>
      <c r="L283" t="str">
        <f t="shared" si="22"/>
        <v>AWAY</v>
      </c>
      <c r="M283">
        <f t="shared" si="23"/>
        <v>0.14897726046717499</v>
      </c>
      <c r="N283">
        <v>1</v>
      </c>
      <c r="O283">
        <f t="shared" si="24"/>
        <v>0</v>
      </c>
    </row>
    <row r="284" spans="1:15" x14ac:dyDescent="0.6">
      <c r="A284">
        <v>20260328</v>
      </c>
      <c r="B284" t="s">
        <v>92</v>
      </c>
      <c r="C284" t="s">
        <v>24</v>
      </c>
      <c r="D284" t="s">
        <v>27</v>
      </c>
      <c r="E284">
        <v>12001</v>
      </c>
      <c r="F284">
        <v>11001</v>
      </c>
      <c r="G284">
        <v>54.79</v>
      </c>
      <c r="H284">
        <v>0.54789702008332375</v>
      </c>
      <c r="I284" t="s">
        <v>78</v>
      </c>
      <c r="J284">
        <f t="shared" si="20"/>
        <v>0.54789702008332375</v>
      </c>
      <c r="K284" t="str">
        <f t="shared" si="21"/>
        <v>50~55</v>
      </c>
      <c r="L284" t="str">
        <f t="shared" si="22"/>
        <v>HOME</v>
      </c>
      <c r="M284">
        <f t="shared" si="23"/>
        <v>0.20439710444953857</v>
      </c>
      <c r="N284">
        <v>1</v>
      </c>
      <c r="O284">
        <f t="shared" si="24"/>
        <v>1</v>
      </c>
    </row>
    <row r="285" spans="1:15" x14ac:dyDescent="0.6">
      <c r="A285">
        <v>20260329</v>
      </c>
      <c r="B285" t="s">
        <v>92</v>
      </c>
      <c r="C285" t="s">
        <v>22</v>
      </c>
      <c r="D285" t="s">
        <v>19</v>
      </c>
      <c r="E285">
        <v>1001</v>
      </c>
      <c r="F285">
        <v>9002</v>
      </c>
      <c r="G285">
        <v>60.17</v>
      </c>
      <c r="H285">
        <v>0.60173416716310735</v>
      </c>
      <c r="I285" t="s">
        <v>78</v>
      </c>
      <c r="J285">
        <f t="shared" si="20"/>
        <v>0.60173416716310735</v>
      </c>
      <c r="K285" t="str">
        <f t="shared" si="21"/>
        <v>60~65</v>
      </c>
      <c r="L285" t="str">
        <f t="shared" si="22"/>
        <v>HOME</v>
      </c>
      <c r="M285">
        <f t="shared" si="23"/>
        <v>0.36208400793147844</v>
      </c>
      <c r="N285">
        <v>0</v>
      </c>
      <c r="O285">
        <f t="shared" si="24"/>
        <v>0</v>
      </c>
    </row>
    <row r="286" spans="1:15" x14ac:dyDescent="0.6">
      <c r="A286">
        <v>20260330</v>
      </c>
      <c r="B286" t="s">
        <v>92</v>
      </c>
      <c r="C286" t="s">
        <v>21</v>
      </c>
      <c r="D286" t="s">
        <v>16</v>
      </c>
      <c r="E286">
        <v>2002</v>
      </c>
      <c r="F286">
        <v>6002</v>
      </c>
      <c r="G286">
        <v>45.49</v>
      </c>
      <c r="H286">
        <v>0.45487382153639028</v>
      </c>
      <c r="I286" t="s">
        <v>78</v>
      </c>
      <c r="J286">
        <f t="shared" si="20"/>
        <v>0.54512617846360967</v>
      </c>
      <c r="K286" t="str">
        <f t="shared" si="21"/>
        <v>50~55</v>
      </c>
      <c r="L286" t="str">
        <f t="shared" si="22"/>
        <v>AWAY</v>
      </c>
      <c r="M286">
        <f t="shared" si="23"/>
        <v>0.29716255044633921</v>
      </c>
      <c r="N286">
        <v>0</v>
      </c>
      <c r="O286">
        <f t="shared" si="24"/>
        <v>1</v>
      </c>
    </row>
    <row r="287" spans="1:15" x14ac:dyDescent="0.6">
      <c r="A287">
        <v>20260331</v>
      </c>
      <c r="B287" t="s">
        <v>93</v>
      </c>
      <c r="C287" t="s">
        <v>28</v>
      </c>
      <c r="D287" t="s">
        <v>23</v>
      </c>
      <c r="E287">
        <v>5002</v>
      </c>
      <c r="F287">
        <v>3001</v>
      </c>
      <c r="G287">
        <v>62.9</v>
      </c>
      <c r="H287">
        <v>0.62897155469632138</v>
      </c>
      <c r="I287" t="s">
        <v>70</v>
      </c>
      <c r="J287">
        <f t="shared" si="20"/>
        <v>0.62897155469632138</v>
      </c>
      <c r="K287" t="str">
        <f t="shared" si="21"/>
        <v>60~65</v>
      </c>
      <c r="L287" t="str">
        <f t="shared" si="22"/>
        <v>HOME</v>
      </c>
      <c r="M287">
        <f t="shared" si="23"/>
        <v>0.13766210722446484</v>
      </c>
      <c r="N287">
        <v>1</v>
      </c>
      <c r="O287">
        <f t="shared" si="24"/>
        <v>1</v>
      </c>
    </row>
    <row r="288" spans="1:15" x14ac:dyDescent="0.6">
      <c r="A288">
        <v>20260332</v>
      </c>
      <c r="B288" t="s">
        <v>93</v>
      </c>
      <c r="C288" t="s">
        <v>17</v>
      </c>
      <c r="D288" t="s">
        <v>20</v>
      </c>
      <c r="E288">
        <v>10001</v>
      </c>
      <c r="F288">
        <v>7002</v>
      </c>
      <c r="G288">
        <v>71.09</v>
      </c>
      <c r="H288">
        <v>0.71090843081137656</v>
      </c>
      <c r="I288" t="s">
        <v>70</v>
      </c>
      <c r="J288">
        <f t="shared" si="20"/>
        <v>0.71090843081137656</v>
      </c>
      <c r="K288" t="str">
        <f t="shared" si="21"/>
        <v>70~100</v>
      </c>
      <c r="L288" t="str">
        <f t="shared" si="22"/>
        <v>HOME</v>
      </c>
      <c r="M288">
        <f t="shared" si="23"/>
        <v>8.3573935375940656E-2</v>
      </c>
      <c r="N288">
        <v>1</v>
      </c>
      <c r="O288">
        <f t="shared" si="24"/>
        <v>1</v>
      </c>
    </row>
    <row r="289" spans="1:15" x14ac:dyDescent="0.6">
      <c r="A289">
        <v>20260333</v>
      </c>
      <c r="B289" t="s">
        <v>93</v>
      </c>
      <c r="C289" t="s">
        <v>24</v>
      </c>
      <c r="D289" t="s">
        <v>27</v>
      </c>
      <c r="E289">
        <v>12001</v>
      </c>
      <c r="F289">
        <v>11001</v>
      </c>
      <c r="G289">
        <v>56.23</v>
      </c>
      <c r="H289">
        <v>0.56226179618920169</v>
      </c>
      <c r="I289" t="s">
        <v>70</v>
      </c>
      <c r="J289">
        <f t="shared" si="20"/>
        <v>0.56226179618920169</v>
      </c>
      <c r="K289" t="str">
        <f t="shared" si="21"/>
        <v>55~60</v>
      </c>
      <c r="L289" t="str">
        <f t="shared" si="22"/>
        <v>HOME</v>
      </c>
      <c r="M289">
        <f t="shared" si="23"/>
        <v>0.191614735075504</v>
      </c>
      <c r="N289">
        <v>1</v>
      </c>
      <c r="O289">
        <f t="shared" si="24"/>
        <v>1</v>
      </c>
    </row>
    <row r="290" spans="1:15" x14ac:dyDescent="0.6">
      <c r="A290">
        <v>20260334</v>
      </c>
      <c r="B290" t="s">
        <v>93</v>
      </c>
      <c r="C290" t="s">
        <v>22</v>
      </c>
      <c r="D290" t="s">
        <v>19</v>
      </c>
      <c r="E290">
        <v>1001</v>
      </c>
      <c r="F290">
        <v>9002</v>
      </c>
      <c r="G290">
        <v>66.430000000000007</v>
      </c>
      <c r="H290">
        <v>0.66433910668820984</v>
      </c>
      <c r="I290" t="s">
        <v>70</v>
      </c>
      <c r="J290">
        <f t="shared" si="20"/>
        <v>0.66433910668820984</v>
      </c>
      <c r="K290" t="str">
        <f t="shared" si="21"/>
        <v>65~70</v>
      </c>
      <c r="L290" t="str">
        <f t="shared" si="22"/>
        <v>HOME</v>
      </c>
      <c r="M290">
        <f t="shared" si="23"/>
        <v>0.11266823529886898</v>
      </c>
      <c r="N290">
        <v>1</v>
      </c>
      <c r="O290">
        <f t="shared" si="24"/>
        <v>1</v>
      </c>
    </row>
    <row r="291" spans="1:15" x14ac:dyDescent="0.6">
      <c r="A291">
        <v>20260335</v>
      </c>
      <c r="B291" t="s">
        <v>93</v>
      </c>
      <c r="C291" t="s">
        <v>21</v>
      </c>
      <c r="D291" t="s">
        <v>16</v>
      </c>
      <c r="E291">
        <v>2002</v>
      </c>
      <c r="F291">
        <v>6002</v>
      </c>
      <c r="G291">
        <v>40.49</v>
      </c>
      <c r="H291">
        <v>0.40485576833285852</v>
      </c>
      <c r="I291" t="s">
        <v>70</v>
      </c>
      <c r="J291">
        <f t="shared" si="20"/>
        <v>0.59514423166714148</v>
      </c>
      <c r="K291" t="str">
        <f t="shared" si="21"/>
        <v>55~60</v>
      </c>
      <c r="L291" t="str">
        <f t="shared" si="22"/>
        <v>AWAY</v>
      </c>
      <c r="M291">
        <f t="shared" si="23"/>
        <v>0.16390819315238922</v>
      </c>
      <c r="N291">
        <v>1</v>
      </c>
      <c r="O291">
        <f t="shared" si="24"/>
        <v>0</v>
      </c>
    </row>
    <row r="292" spans="1:15" x14ac:dyDescent="0.6">
      <c r="A292">
        <v>20260337</v>
      </c>
      <c r="B292" t="s">
        <v>94</v>
      </c>
      <c r="C292" t="s">
        <v>17</v>
      </c>
      <c r="D292" t="s">
        <v>20</v>
      </c>
      <c r="E292">
        <v>10001</v>
      </c>
      <c r="F292">
        <v>7002</v>
      </c>
      <c r="G292">
        <v>52.89</v>
      </c>
      <c r="H292">
        <v>0.52887079230870593</v>
      </c>
      <c r="I292" t="s">
        <v>70</v>
      </c>
      <c r="J292">
        <f t="shared" si="20"/>
        <v>0.52887079230870593</v>
      </c>
      <c r="K292" t="str">
        <f t="shared" si="21"/>
        <v>50~55</v>
      </c>
      <c r="L292" t="str">
        <f t="shared" si="22"/>
        <v>HOME</v>
      </c>
      <c r="M292">
        <f t="shared" si="23"/>
        <v>0.2219627303398265</v>
      </c>
      <c r="N292">
        <v>1</v>
      </c>
      <c r="O292">
        <f t="shared" si="24"/>
        <v>1</v>
      </c>
    </row>
    <row r="293" spans="1:15" x14ac:dyDescent="0.6">
      <c r="A293">
        <v>20260336</v>
      </c>
      <c r="B293" t="s">
        <v>94</v>
      </c>
      <c r="C293" t="s">
        <v>28</v>
      </c>
      <c r="D293" t="s">
        <v>23</v>
      </c>
      <c r="E293">
        <v>5002</v>
      </c>
      <c r="F293">
        <v>3001</v>
      </c>
      <c r="G293">
        <v>45.78</v>
      </c>
      <c r="H293">
        <v>0.45781149385617309</v>
      </c>
      <c r="I293" t="s">
        <v>70</v>
      </c>
      <c r="J293">
        <f t="shared" si="20"/>
        <v>0.54218850614382696</v>
      </c>
      <c r="K293" t="str">
        <f t="shared" si="21"/>
        <v>50~55</v>
      </c>
      <c r="L293" t="str">
        <f t="shared" si="22"/>
        <v>AWAY</v>
      </c>
      <c r="M293">
        <f t="shared" si="23"/>
        <v>0.20959136390682076</v>
      </c>
      <c r="N293">
        <v>1</v>
      </c>
      <c r="O293">
        <f t="shared" si="24"/>
        <v>0</v>
      </c>
    </row>
    <row r="294" spans="1:15" x14ac:dyDescent="0.6">
      <c r="A294">
        <v>20260338</v>
      </c>
      <c r="B294" t="s">
        <v>94</v>
      </c>
      <c r="C294" t="s">
        <v>24</v>
      </c>
      <c r="D294" t="s">
        <v>27</v>
      </c>
      <c r="E294">
        <v>12001</v>
      </c>
      <c r="F294">
        <v>11001</v>
      </c>
      <c r="G294">
        <v>40.9</v>
      </c>
      <c r="H294">
        <v>0.40901752981008932</v>
      </c>
      <c r="I294" t="s">
        <v>70</v>
      </c>
      <c r="J294">
        <f t="shared" si="20"/>
        <v>0.59098247018991068</v>
      </c>
      <c r="K294" t="str">
        <f t="shared" si="21"/>
        <v>55~60</v>
      </c>
      <c r="L294" t="str">
        <f t="shared" si="22"/>
        <v>AWAY</v>
      </c>
      <c r="M294" t="str">
        <f t="shared" si="23"/>
        <v/>
      </c>
      <c r="N294" t="s">
        <v>31</v>
      </c>
      <c r="O294" t="str">
        <f t="shared" si="24"/>
        <v/>
      </c>
    </row>
    <row r="295" spans="1:15" x14ac:dyDescent="0.6">
      <c r="A295">
        <v>20260339</v>
      </c>
      <c r="B295" t="s">
        <v>94</v>
      </c>
      <c r="C295" t="s">
        <v>22</v>
      </c>
      <c r="D295" t="s">
        <v>19</v>
      </c>
      <c r="E295">
        <v>1001</v>
      </c>
      <c r="F295">
        <v>9002</v>
      </c>
      <c r="G295">
        <v>65.05</v>
      </c>
      <c r="H295">
        <v>0.65051635182502343</v>
      </c>
      <c r="I295" t="s">
        <v>70</v>
      </c>
      <c r="J295">
        <f t="shared" si="20"/>
        <v>0.65051635182502343</v>
      </c>
      <c r="K295" t="str">
        <f t="shared" si="21"/>
        <v>65~70</v>
      </c>
      <c r="L295" t="str">
        <f t="shared" si="22"/>
        <v>HOME</v>
      </c>
      <c r="M295">
        <f t="shared" si="23"/>
        <v>0.12213882034169081</v>
      </c>
      <c r="N295">
        <v>1</v>
      </c>
      <c r="O295">
        <f t="shared" si="24"/>
        <v>1</v>
      </c>
    </row>
    <row r="296" spans="1:15" x14ac:dyDescent="0.6">
      <c r="A296">
        <v>20260340</v>
      </c>
      <c r="B296" t="s">
        <v>94</v>
      </c>
      <c r="C296" t="s">
        <v>21</v>
      </c>
      <c r="D296" t="s">
        <v>16</v>
      </c>
      <c r="E296">
        <v>2002</v>
      </c>
      <c r="F296">
        <v>6002</v>
      </c>
      <c r="G296">
        <v>26.38</v>
      </c>
      <c r="H296">
        <v>0.26383340257816651</v>
      </c>
      <c r="I296" t="s">
        <v>70</v>
      </c>
      <c r="J296">
        <f t="shared" si="20"/>
        <v>0.73616659742183344</v>
      </c>
      <c r="K296" t="str">
        <f t="shared" si="21"/>
        <v>70~100</v>
      </c>
      <c r="L296" t="str">
        <f t="shared" si="22"/>
        <v>AWAY</v>
      </c>
      <c r="M296">
        <f t="shared" si="23"/>
        <v>0.54194125915963975</v>
      </c>
      <c r="N296">
        <v>0</v>
      </c>
      <c r="O296">
        <f t="shared" si="24"/>
        <v>1</v>
      </c>
    </row>
    <row r="297" spans="1:15" x14ac:dyDescent="0.6">
      <c r="A297">
        <v>20260341</v>
      </c>
      <c r="B297" t="s">
        <v>95</v>
      </c>
      <c r="C297" t="s">
        <v>16</v>
      </c>
      <c r="D297" t="s">
        <v>24</v>
      </c>
      <c r="E297">
        <v>6002</v>
      </c>
      <c r="F297">
        <v>12001</v>
      </c>
      <c r="G297">
        <v>43.58</v>
      </c>
      <c r="H297">
        <v>0.43581676064114971</v>
      </c>
      <c r="I297" t="s">
        <v>70</v>
      </c>
      <c r="J297">
        <f t="shared" si="20"/>
        <v>0.56418323935885029</v>
      </c>
      <c r="K297" t="str">
        <f t="shared" si="21"/>
        <v>55~60</v>
      </c>
      <c r="L297" t="str">
        <f t="shared" si="22"/>
        <v>AWAY</v>
      </c>
      <c r="M297">
        <f t="shared" si="23"/>
        <v>0.31830272757344574</v>
      </c>
      <c r="N297">
        <v>0</v>
      </c>
      <c r="O297">
        <f t="shared" si="24"/>
        <v>1</v>
      </c>
    </row>
    <row r="298" spans="1:15" x14ac:dyDescent="0.6">
      <c r="A298">
        <v>20260342</v>
      </c>
      <c r="B298" t="s">
        <v>95</v>
      </c>
      <c r="C298" t="s">
        <v>19</v>
      </c>
      <c r="D298" t="s">
        <v>23</v>
      </c>
      <c r="E298">
        <v>9002</v>
      </c>
      <c r="F298">
        <v>3001</v>
      </c>
      <c r="G298">
        <v>25.81</v>
      </c>
      <c r="H298">
        <v>0.25806454572715992</v>
      </c>
      <c r="I298" t="s">
        <v>70</v>
      </c>
      <c r="J298">
        <f t="shared" si="20"/>
        <v>0.74193545427284002</v>
      </c>
      <c r="K298" t="str">
        <f t="shared" si="21"/>
        <v>70~100</v>
      </c>
      <c r="L298" t="str">
        <f t="shared" si="22"/>
        <v>AWAY</v>
      </c>
      <c r="M298">
        <f t="shared" si="23"/>
        <v>0.55046821830704551</v>
      </c>
      <c r="N298">
        <v>0</v>
      </c>
      <c r="O298">
        <f t="shared" si="24"/>
        <v>1</v>
      </c>
    </row>
    <row r="299" spans="1:15" x14ac:dyDescent="0.6">
      <c r="A299">
        <v>20260343</v>
      </c>
      <c r="B299" t="s">
        <v>95</v>
      </c>
      <c r="C299" t="s">
        <v>22</v>
      </c>
      <c r="D299" t="s">
        <v>17</v>
      </c>
      <c r="E299">
        <v>1001</v>
      </c>
      <c r="F299">
        <v>10001</v>
      </c>
      <c r="G299">
        <v>61.15</v>
      </c>
      <c r="H299">
        <v>0.61145912002160585</v>
      </c>
      <c r="I299" t="s">
        <v>70</v>
      </c>
      <c r="J299">
        <f t="shared" si="20"/>
        <v>0.61145912002160585</v>
      </c>
      <c r="K299" t="str">
        <f t="shared" si="21"/>
        <v>60~65</v>
      </c>
      <c r="L299" t="str">
        <f t="shared" si="22"/>
        <v>HOME</v>
      </c>
      <c r="M299">
        <f t="shared" si="23"/>
        <v>0.15096401541438489</v>
      </c>
      <c r="N299">
        <v>1</v>
      </c>
      <c r="O299">
        <f t="shared" si="24"/>
        <v>1</v>
      </c>
    </row>
    <row r="300" spans="1:15" x14ac:dyDescent="0.6">
      <c r="A300">
        <v>20260344</v>
      </c>
      <c r="B300" t="s">
        <v>95</v>
      </c>
      <c r="C300" t="s">
        <v>21</v>
      </c>
      <c r="D300" t="s">
        <v>28</v>
      </c>
      <c r="E300">
        <v>2002</v>
      </c>
      <c r="F300">
        <v>5002</v>
      </c>
      <c r="G300">
        <v>34.56</v>
      </c>
      <c r="H300">
        <v>0.34557889745171988</v>
      </c>
      <c r="I300" t="s">
        <v>70</v>
      </c>
      <c r="J300">
        <f t="shared" si="20"/>
        <v>0.65442110254828012</v>
      </c>
      <c r="K300" t="str">
        <f t="shared" si="21"/>
        <v>65~70</v>
      </c>
      <c r="L300" t="str">
        <f t="shared" si="22"/>
        <v>AWAY</v>
      </c>
      <c r="M300">
        <f t="shared" si="23"/>
        <v>0.42826697946050657</v>
      </c>
      <c r="N300">
        <v>0</v>
      </c>
      <c r="O300">
        <f t="shared" si="24"/>
        <v>1</v>
      </c>
    </row>
    <row r="301" spans="1:15" x14ac:dyDescent="0.6">
      <c r="A301">
        <v>20260345</v>
      </c>
      <c r="B301" t="s">
        <v>95</v>
      </c>
      <c r="C301" t="s">
        <v>27</v>
      </c>
      <c r="D301" t="s">
        <v>20</v>
      </c>
      <c r="E301">
        <v>11001</v>
      </c>
      <c r="F301">
        <v>7002</v>
      </c>
      <c r="G301">
        <v>45.25</v>
      </c>
      <c r="H301">
        <v>0.45249425280281569</v>
      </c>
      <c r="I301" t="s">
        <v>70</v>
      </c>
      <c r="J301">
        <f t="shared" si="20"/>
        <v>0.54750574719718426</v>
      </c>
      <c r="K301" t="str">
        <f t="shared" si="21"/>
        <v>50~55</v>
      </c>
      <c r="L301" t="str">
        <f t="shared" si="22"/>
        <v>AWAY</v>
      </c>
      <c r="M301">
        <f t="shared" si="23"/>
        <v>0.20475104881957853</v>
      </c>
      <c r="N301">
        <v>1</v>
      </c>
      <c r="O301">
        <f t="shared" si="24"/>
        <v>0</v>
      </c>
    </row>
    <row r="302" spans="1:15" x14ac:dyDescent="0.6">
      <c r="A302">
        <v>20260346</v>
      </c>
      <c r="B302" t="s">
        <v>96</v>
      </c>
      <c r="C302" t="s">
        <v>16</v>
      </c>
      <c r="D302" t="s">
        <v>24</v>
      </c>
      <c r="E302">
        <v>6002</v>
      </c>
      <c r="F302">
        <v>12001</v>
      </c>
      <c r="G302">
        <v>26.81</v>
      </c>
      <c r="H302">
        <v>0.26810080548271842</v>
      </c>
      <c r="I302" t="s">
        <v>70</v>
      </c>
      <c r="J302">
        <f t="shared" si="20"/>
        <v>0.73189919451728158</v>
      </c>
      <c r="K302" t="str">
        <f t="shared" si="21"/>
        <v>70~100</v>
      </c>
      <c r="L302" t="str">
        <f t="shared" si="22"/>
        <v>AWAY</v>
      </c>
      <c r="M302">
        <f t="shared" si="23"/>
        <v>0.53567643093504558</v>
      </c>
      <c r="N302">
        <v>0</v>
      </c>
      <c r="O302">
        <f t="shared" si="24"/>
        <v>1</v>
      </c>
    </row>
    <row r="303" spans="1:15" x14ac:dyDescent="0.6">
      <c r="A303">
        <v>20260347</v>
      </c>
      <c r="B303" t="s">
        <v>96</v>
      </c>
      <c r="C303" t="s">
        <v>19</v>
      </c>
      <c r="D303" t="s">
        <v>23</v>
      </c>
      <c r="E303">
        <v>9002</v>
      </c>
      <c r="F303">
        <v>3001</v>
      </c>
      <c r="G303">
        <v>44.86</v>
      </c>
      <c r="H303">
        <v>0.44861984176741893</v>
      </c>
      <c r="I303" t="s">
        <v>70</v>
      </c>
      <c r="J303">
        <f t="shared" si="20"/>
        <v>0.55138015823258102</v>
      </c>
      <c r="K303" t="str">
        <f t="shared" si="21"/>
        <v>55~60</v>
      </c>
      <c r="L303" t="str">
        <f t="shared" si="22"/>
        <v>AWAY</v>
      </c>
      <c r="M303">
        <f t="shared" si="23"/>
        <v>0.30402007889258609</v>
      </c>
      <c r="N303">
        <v>0</v>
      </c>
      <c r="O303">
        <f t="shared" si="24"/>
        <v>1</v>
      </c>
    </row>
    <row r="304" spans="1:15" x14ac:dyDescent="0.6">
      <c r="A304">
        <v>20260348</v>
      </c>
      <c r="B304" t="s">
        <v>96</v>
      </c>
      <c r="C304" t="s">
        <v>22</v>
      </c>
      <c r="D304" t="s">
        <v>17</v>
      </c>
      <c r="E304">
        <v>1001</v>
      </c>
      <c r="F304">
        <v>10001</v>
      </c>
      <c r="G304">
        <v>47.39</v>
      </c>
      <c r="H304">
        <v>0.47394178870492237</v>
      </c>
      <c r="I304" t="s">
        <v>70</v>
      </c>
      <c r="J304">
        <f t="shared" si="20"/>
        <v>0.52605821129507757</v>
      </c>
      <c r="K304" t="str">
        <f t="shared" si="21"/>
        <v>50~55</v>
      </c>
      <c r="L304" t="str">
        <f t="shared" si="22"/>
        <v>AWAY</v>
      </c>
      <c r="M304">
        <f t="shared" si="23"/>
        <v>0.22462081908082135</v>
      </c>
      <c r="N304">
        <v>1</v>
      </c>
      <c r="O304">
        <f t="shared" si="24"/>
        <v>0</v>
      </c>
    </row>
    <row r="305" spans="1:15" x14ac:dyDescent="0.6">
      <c r="A305">
        <v>20260349</v>
      </c>
      <c r="B305" t="s">
        <v>96</v>
      </c>
      <c r="C305" t="s">
        <v>21</v>
      </c>
      <c r="D305" t="s">
        <v>28</v>
      </c>
      <c r="E305">
        <v>2002</v>
      </c>
      <c r="F305">
        <v>5002</v>
      </c>
      <c r="G305">
        <v>54.62</v>
      </c>
      <c r="H305">
        <v>0.54624363411879606</v>
      </c>
      <c r="I305" t="s">
        <v>70</v>
      </c>
      <c r="J305">
        <f t="shared" si="20"/>
        <v>0.54624363411879606</v>
      </c>
      <c r="K305" t="str">
        <f t="shared" si="21"/>
        <v>50~55</v>
      </c>
      <c r="L305" t="str">
        <f t="shared" si="22"/>
        <v>HOME</v>
      </c>
      <c r="M305">
        <f t="shared" si="23"/>
        <v>0.20589483957771701</v>
      </c>
      <c r="N305">
        <v>1</v>
      </c>
      <c r="O305">
        <f t="shared" si="24"/>
        <v>1</v>
      </c>
    </row>
    <row r="306" spans="1:15" x14ac:dyDescent="0.6">
      <c r="A306">
        <v>20260350</v>
      </c>
      <c r="B306" t="s">
        <v>96</v>
      </c>
      <c r="C306" t="s">
        <v>27</v>
      </c>
      <c r="D306" t="s">
        <v>20</v>
      </c>
      <c r="E306">
        <v>11001</v>
      </c>
      <c r="F306">
        <v>7002</v>
      </c>
      <c r="G306">
        <v>58.32</v>
      </c>
      <c r="H306">
        <v>0.58316131165899454</v>
      </c>
      <c r="I306" t="s">
        <v>70</v>
      </c>
      <c r="J306">
        <f t="shared" si="20"/>
        <v>0.58316131165899454</v>
      </c>
      <c r="K306" t="str">
        <f t="shared" si="21"/>
        <v>55~60</v>
      </c>
      <c r="L306" t="str">
        <f t="shared" si="22"/>
        <v>HOME</v>
      </c>
      <c r="M306">
        <f t="shared" si="23"/>
        <v>0.17375449209784988</v>
      </c>
      <c r="N306">
        <v>1</v>
      </c>
      <c r="O306">
        <f t="shared" si="24"/>
        <v>1</v>
      </c>
    </row>
    <row r="307" spans="1:15" x14ac:dyDescent="0.6">
      <c r="A307">
        <v>20260351</v>
      </c>
      <c r="B307" t="s">
        <v>97</v>
      </c>
      <c r="C307" t="s">
        <v>16</v>
      </c>
      <c r="D307" t="s">
        <v>24</v>
      </c>
      <c r="E307">
        <v>6002</v>
      </c>
      <c r="F307">
        <v>12001</v>
      </c>
      <c r="G307">
        <v>47.74</v>
      </c>
      <c r="H307">
        <v>0.4773622423977894</v>
      </c>
      <c r="I307" t="s">
        <v>70</v>
      </c>
      <c r="J307">
        <f t="shared" si="20"/>
        <v>0.52263775760221054</v>
      </c>
      <c r="K307" t="str">
        <f t="shared" si="21"/>
        <v>50~55</v>
      </c>
      <c r="L307" t="str">
        <f t="shared" si="22"/>
        <v>AWAY</v>
      </c>
      <c r="M307">
        <f t="shared" si="23"/>
        <v>0.22787471046704591</v>
      </c>
      <c r="N307">
        <v>1</v>
      </c>
      <c r="O307">
        <f t="shared" si="24"/>
        <v>0</v>
      </c>
    </row>
    <row r="308" spans="1:15" x14ac:dyDescent="0.6">
      <c r="A308">
        <v>20260352</v>
      </c>
      <c r="B308" t="s">
        <v>97</v>
      </c>
      <c r="C308" t="s">
        <v>19</v>
      </c>
      <c r="D308" t="s">
        <v>23</v>
      </c>
      <c r="E308">
        <v>9002</v>
      </c>
      <c r="F308">
        <v>3001</v>
      </c>
      <c r="G308">
        <v>40.83</v>
      </c>
      <c r="H308">
        <v>0.40833855162338928</v>
      </c>
      <c r="I308" t="s">
        <v>70</v>
      </c>
      <c r="J308">
        <f t="shared" si="20"/>
        <v>0.59166144837661072</v>
      </c>
      <c r="K308" t="str">
        <f t="shared" si="21"/>
        <v>55~60</v>
      </c>
      <c r="L308" t="str">
        <f t="shared" si="22"/>
        <v>AWAY</v>
      </c>
      <c r="M308" t="str">
        <f t="shared" si="23"/>
        <v/>
      </c>
      <c r="N308" t="s">
        <v>50</v>
      </c>
      <c r="O308" t="str">
        <f t="shared" si="24"/>
        <v/>
      </c>
    </row>
    <row r="309" spans="1:15" x14ac:dyDescent="0.6">
      <c r="A309">
        <v>20260353</v>
      </c>
      <c r="B309" t="s">
        <v>97</v>
      </c>
      <c r="C309" t="s">
        <v>22</v>
      </c>
      <c r="D309" t="s">
        <v>17</v>
      </c>
      <c r="E309">
        <v>1001</v>
      </c>
      <c r="F309">
        <v>10001</v>
      </c>
      <c r="G309">
        <v>42.52</v>
      </c>
      <c r="H309">
        <v>0.42520826657848559</v>
      </c>
      <c r="I309" t="s">
        <v>70</v>
      </c>
      <c r="J309">
        <f t="shared" si="20"/>
        <v>0.57479173342151446</v>
      </c>
      <c r="K309" t="str">
        <f t="shared" si="21"/>
        <v>55~60</v>
      </c>
      <c r="L309" t="str">
        <f t="shared" si="22"/>
        <v>AWAY</v>
      </c>
      <c r="M309">
        <f t="shared" si="23"/>
        <v>0.18080206996668041</v>
      </c>
      <c r="N309">
        <v>1</v>
      </c>
      <c r="O309">
        <f t="shared" si="24"/>
        <v>0</v>
      </c>
    </row>
    <row r="310" spans="1:15" x14ac:dyDescent="0.6">
      <c r="A310">
        <v>20260354</v>
      </c>
      <c r="B310" t="s">
        <v>97</v>
      </c>
      <c r="C310" t="s">
        <v>21</v>
      </c>
      <c r="D310" t="s">
        <v>28</v>
      </c>
      <c r="E310">
        <v>2002</v>
      </c>
      <c r="F310">
        <v>5002</v>
      </c>
      <c r="G310">
        <v>36.950000000000003</v>
      </c>
      <c r="H310">
        <v>0.36946391653962191</v>
      </c>
      <c r="I310" t="s">
        <v>70</v>
      </c>
      <c r="J310">
        <f t="shared" si="20"/>
        <v>0.63053608346037815</v>
      </c>
      <c r="K310" t="str">
        <f t="shared" si="21"/>
        <v>60~65</v>
      </c>
      <c r="L310" t="str">
        <f t="shared" si="22"/>
        <v>AWAY</v>
      </c>
      <c r="M310">
        <f t="shared" si="23"/>
        <v>0.13650358562479667</v>
      </c>
      <c r="N310">
        <v>1</v>
      </c>
      <c r="O310">
        <f t="shared" si="24"/>
        <v>0</v>
      </c>
    </row>
    <row r="311" spans="1:15" x14ac:dyDescent="0.6">
      <c r="A311">
        <v>20260355</v>
      </c>
      <c r="B311" t="s">
        <v>97</v>
      </c>
      <c r="C311" t="s">
        <v>27</v>
      </c>
      <c r="D311" t="s">
        <v>20</v>
      </c>
      <c r="E311">
        <v>11001</v>
      </c>
      <c r="F311">
        <v>7002</v>
      </c>
      <c r="G311">
        <v>47.26</v>
      </c>
      <c r="H311">
        <v>0.47257079461173518</v>
      </c>
      <c r="I311" t="s">
        <v>70</v>
      </c>
      <c r="J311">
        <f t="shared" si="20"/>
        <v>0.52742920538826477</v>
      </c>
      <c r="K311" t="str">
        <f t="shared" si="21"/>
        <v>50~55</v>
      </c>
      <c r="L311" t="str">
        <f t="shared" si="22"/>
        <v>AWAY</v>
      </c>
      <c r="M311">
        <f t="shared" si="23"/>
        <v>0.22332315591996685</v>
      </c>
      <c r="N311">
        <v>1</v>
      </c>
      <c r="O311">
        <f t="shared" si="24"/>
        <v>0</v>
      </c>
    </row>
    <row r="312" spans="1:15" x14ac:dyDescent="0.6">
      <c r="A312">
        <v>20260356</v>
      </c>
      <c r="B312" t="s">
        <v>98</v>
      </c>
      <c r="C312" t="s">
        <v>28</v>
      </c>
      <c r="D312" t="s">
        <v>16</v>
      </c>
      <c r="E312">
        <v>5002</v>
      </c>
      <c r="F312">
        <v>6002</v>
      </c>
      <c r="G312">
        <v>28.43</v>
      </c>
      <c r="H312">
        <v>0.28433612300652722</v>
      </c>
      <c r="I312" t="s">
        <v>70</v>
      </c>
      <c r="J312">
        <f t="shared" si="20"/>
        <v>0.71566387699347278</v>
      </c>
      <c r="K312" t="str">
        <f t="shared" si="21"/>
        <v>70~100</v>
      </c>
      <c r="L312" t="str">
        <f t="shared" si="22"/>
        <v>AWAY</v>
      </c>
      <c r="M312">
        <f t="shared" si="23"/>
        <v>8.0847030846382978E-2</v>
      </c>
      <c r="N312">
        <v>1</v>
      </c>
      <c r="O312">
        <f t="shared" si="24"/>
        <v>0</v>
      </c>
    </row>
    <row r="313" spans="1:15" x14ac:dyDescent="0.6">
      <c r="A313">
        <v>20260357</v>
      </c>
      <c r="B313" t="s">
        <v>98</v>
      </c>
      <c r="C313" t="s">
        <v>17</v>
      </c>
      <c r="D313" t="s">
        <v>23</v>
      </c>
      <c r="E313">
        <v>10001</v>
      </c>
      <c r="F313">
        <v>3001</v>
      </c>
      <c r="G313">
        <v>72.33</v>
      </c>
      <c r="H313">
        <v>0.72334026809921803</v>
      </c>
      <c r="I313" t="s">
        <v>70</v>
      </c>
      <c r="J313">
        <f t="shared" si="20"/>
        <v>0.72334026809921803</v>
      </c>
      <c r="K313" t="str">
        <f t="shared" si="21"/>
        <v>70~100</v>
      </c>
      <c r="L313" t="str">
        <f t="shared" si="22"/>
        <v>HOME</v>
      </c>
      <c r="M313">
        <f t="shared" si="23"/>
        <v>0.52322114345384862</v>
      </c>
      <c r="N313">
        <v>0</v>
      </c>
      <c r="O313">
        <f t="shared" si="24"/>
        <v>0</v>
      </c>
    </row>
    <row r="314" spans="1:15" x14ac:dyDescent="0.6">
      <c r="A314">
        <v>20260358</v>
      </c>
      <c r="B314" t="s">
        <v>98</v>
      </c>
      <c r="C314" t="s">
        <v>24</v>
      </c>
      <c r="D314" t="s">
        <v>21</v>
      </c>
      <c r="E314">
        <v>12001</v>
      </c>
      <c r="F314">
        <v>2002</v>
      </c>
      <c r="G314">
        <v>47.5</v>
      </c>
      <c r="H314">
        <v>0.47503191155582808</v>
      </c>
      <c r="I314" t="s">
        <v>70</v>
      </c>
      <c r="J314">
        <f t="shared" si="20"/>
        <v>0.52496808844417187</v>
      </c>
      <c r="K314" t="str">
        <f t="shared" si="21"/>
        <v>50~55</v>
      </c>
      <c r="L314" t="str">
        <f t="shared" si="22"/>
        <v>AWAY</v>
      </c>
      <c r="M314">
        <f t="shared" si="23"/>
        <v>0.27559149388472787</v>
      </c>
      <c r="N314">
        <v>0</v>
      </c>
      <c r="O314">
        <f t="shared" si="24"/>
        <v>1</v>
      </c>
    </row>
    <row r="315" spans="1:15" x14ac:dyDescent="0.6">
      <c r="A315">
        <v>20260359</v>
      </c>
      <c r="B315" t="s">
        <v>98</v>
      </c>
      <c r="C315" t="s">
        <v>20</v>
      </c>
      <c r="D315" t="s">
        <v>22</v>
      </c>
      <c r="E315">
        <v>7002</v>
      </c>
      <c r="F315">
        <v>1001</v>
      </c>
      <c r="G315">
        <v>33.32</v>
      </c>
      <c r="H315">
        <v>0.33322303044459323</v>
      </c>
      <c r="I315" t="s">
        <v>70</v>
      </c>
      <c r="J315">
        <f t="shared" si="20"/>
        <v>0.66677696955540677</v>
      </c>
      <c r="K315" t="str">
        <f t="shared" si="21"/>
        <v>65~70</v>
      </c>
      <c r="L315" t="str">
        <f t="shared" si="22"/>
        <v>AWAY</v>
      </c>
      <c r="M315" t="str">
        <f t="shared" si="23"/>
        <v/>
      </c>
      <c r="N315" t="s">
        <v>50</v>
      </c>
      <c r="O315" t="str">
        <f t="shared" si="24"/>
        <v/>
      </c>
    </row>
    <row r="316" spans="1:15" x14ac:dyDescent="0.6">
      <c r="A316">
        <v>20260360</v>
      </c>
      <c r="B316" t="s">
        <v>98</v>
      </c>
      <c r="C316" t="s">
        <v>27</v>
      </c>
      <c r="D316" t="s">
        <v>19</v>
      </c>
      <c r="E316">
        <v>11001</v>
      </c>
      <c r="F316">
        <v>9002</v>
      </c>
      <c r="G316">
        <v>59.09</v>
      </c>
      <c r="H316">
        <v>0.59091559562576357</v>
      </c>
      <c r="I316" t="s">
        <v>70</v>
      </c>
      <c r="J316">
        <f t="shared" si="20"/>
        <v>0.59091559562576357</v>
      </c>
      <c r="K316" t="str">
        <f t="shared" si="21"/>
        <v>55~60</v>
      </c>
      <c r="L316" t="str">
        <f t="shared" si="22"/>
        <v>HOME</v>
      </c>
      <c r="M316">
        <f t="shared" si="23"/>
        <v>0.1673500499022238</v>
      </c>
      <c r="N316">
        <v>1</v>
      </c>
      <c r="O316">
        <f t="shared" si="24"/>
        <v>1</v>
      </c>
    </row>
    <row r="317" spans="1:15" x14ac:dyDescent="0.6">
      <c r="A317">
        <v>20260361</v>
      </c>
      <c r="B317" t="s">
        <v>99</v>
      </c>
      <c r="C317" t="s">
        <v>28</v>
      </c>
      <c r="D317" t="s">
        <v>16</v>
      </c>
      <c r="E317">
        <v>5002</v>
      </c>
      <c r="F317">
        <v>6002</v>
      </c>
      <c r="G317">
        <v>44.36</v>
      </c>
      <c r="H317">
        <v>0.44358130696049858</v>
      </c>
      <c r="I317" t="s">
        <v>70</v>
      </c>
      <c r="J317">
        <f t="shared" si="20"/>
        <v>0.55641869303950142</v>
      </c>
      <c r="K317" t="str">
        <f t="shared" si="21"/>
        <v>55~60</v>
      </c>
      <c r="L317" t="str">
        <f t="shared" si="22"/>
        <v>AWAY</v>
      </c>
      <c r="M317">
        <f t="shared" si="23"/>
        <v>0.19676437588478407</v>
      </c>
      <c r="N317">
        <v>1</v>
      </c>
      <c r="O317">
        <f t="shared" si="24"/>
        <v>0</v>
      </c>
    </row>
    <row r="318" spans="1:15" x14ac:dyDescent="0.6">
      <c r="A318">
        <v>20260362</v>
      </c>
      <c r="B318" t="s">
        <v>99</v>
      </c>
      <c r="C318" t="s">
        <v>17</v>
      </c>
      <c r="D318" t="s">
        <v>23</v>
      </c>
      <c r="E318">
        <v>10001</v>
      </c>
      <c r="F318">
        <v>3001</v>
      </c>
      <c r="G318">
        <v>58.67</v>
      </c>
      <c r="H318">
        <v>0.5867006295667262</v>
      </c>
      <c r="I318" t="s">
        <v>70</v>
      </c>
      <c r="J318">
        <f t="shared" si="20"/>
        <v>0.5867006295667262</v>
      </c>
      <c r="K318" t="str">
        <f t="shared" si="21"/>
        <v>55~60</v>
      </c>
      <c r="L318" t="str">
        <f t="shared" si="22"/>
        <v>HOME</v>
      </c>
      <c r="M318">
        <f t="shared" si="23"/>
        <v>0.34421762873399286</v>
      </c>
      <c r="N318">
        <v>0</v>
      </c>
      <c r="O318">
        <f t="shared" si="24"/>
        <v>0</v>
      </c>
    </row>
    <row r="319" spans="1:15" x14ac:dyDescent="0.6">
      <c r="A319">
        <v>20260363</v>
      </c>
      <c r="B319" t="s">
        <v>99</v>
      </c>
      <c r="C319" t="s">
        <v>24</v>
      </c>
      <c r="D319" t="s">
        <v>21</v>
      </c>
      <c r="E319">
        <v>12001</v>
      </c>
      <c r="F319">
        <v>2002</v>
      </c>
      <c r="G319">
        <v>51.77</v>
      </c>
      <c r="H319">
        <v>0.51765238728605945</v>
      </c>
      <c r="I319" t="s">
        <v>70</v>
      </c>
      <c r="J319">
        <f t="shared" si="20"/>
        <v>0.51765238728605945</v>
      </c>
      <c r="K319" t="str">
        <f t="shared" si="21"/>
        <v>50~55</v>
      </c>
      <c r="L319" t="str">
        <f t="shared" si="22"/>
        <v>HOME</v>
      </c>
      <c r="M319">
        <f t="shared" si="23"/>
        <v>0.23265921949083759</v>
      </c>
      <c r="N319">
        <v>1</v>
      </c>
      <c r="O319">
        <f t="shared" si="24"/>
        <v>1</v>
      </c>
    </row>
    <row r="320" spans="1:15" x14ac:dyDescent="0.6">
      <c r="A320">
        <v>20260364</v>
      </c>
      <c r="B320" t="s">
        <v>99</v>
      </c>
      <c r="C320" t="s">
        <v>20</v>
      </c>
      <c r="D320" t="s">
        <v>22</v>
      </c>
      <c r="E320">
        <v>7002</v>
      </c>
      <c r="F320">
        <v>1001</v>
      </c>
      <c r="G320">
        <v>52.18</v>
      </c>
      <c r="H320">
        <v>0.52177005583375269</v>
      </c>
      <c r="I320" t="s">
        <v>70</v>
      </c>
      <c r="J320">
        <f t="shared" si="20"/>
        <v>0.52177005583375269</v>
      </c>
      <c r="K320" t="str">
        <f t="shared" si="21"/>
        <v>50~55</v>
      </c>
      <c r="L320" t="str">
        <f t="shared" si="22"/>
        <v>HOME</v>
      </c>
      <c r="M320">
        <f t="shared" si="23"/>
        <v>0.22870387949725202</v>
      </c>
      <c r="N320">
        <v>1</v>
      </c>
      <c r="O320">
        <f t="shared" si="24"/>
        <v>1</v>
      </c>
    </row>
    <row r="321" spans="1:15" x14ac:dyDescent="0.6">
      <c r="A321">
        <v>20260365</v>
      </c>
      <c r="B321" t="s">
        <v>99</v>
      </c>
      <c r="C321" t="s">
        <v>27</v>
      </c>
      <c r="D321" t="s">
        <v>19</v>
      </c>
      <c r="E321">
        <v>11001</v>
      </c>
      <c r="F321">
        <v>9002</v>
      </c>
      <c r="G321">
        <v>82.79</v>
      </c>
      <c r="H321">
        <v>0.82788980736794648</v>
      </c>
      <c r="I321" t="s">
        <v>70</v>
      </c>
      <c r="J321">
        <f t="shared" si="20"/>
        <v>0.82788980736794648</v>
      </c>
      <c r="K321" t="str">
        <f t="shared" si="21"/>
        <v>70~100</v>
      </c>
      <c r="L321" t="str">
        <f t="shared" si="22"/>
        <v>HOME</v>
      </c>
      <c r="M321">
        <f t="shared" si="23"/>
        <v>0.68540153314373553</v>
      </c>
      <c r="N321">
        <v>0</v>
      </c>
      <c r="O321">
        <f t="shared" si="24"/>
        <v>0</v>
      </c>
    </row>
    <row r="322" spans="1:15" x14ac:dyDescent="0.6">
      <c r="A322">
        <v>20260367</v>
      </c>
      <c r="B322" t="s">
        <v>100</v>
      </c>
      <c r="C322" t="s">
        <v>17</v>
      </c>
      <c r="D322" t="s">
        <v>23</v>
      </c>
      <c r="E322">
        <v>10001</v>
      </c>
      <c r="F322">
        <v>3001</v>
      </c>
      <c r="G322">
        <v>46.69</v>
      </c>
      <c r="H322">
        <v>0.46690728099991857</v>
      </c>
      <c r="I322" t="s">
        <v>70</v>
      </c>
      <c r="J322">
        <f t="shared" ref="J322:J385" si="25">MAX(H322,1-H322)</f>
        <v>0.53309271900008137</v>
      </c>
      <c r="K322" t="str">
        <f t="shared" ref="K322:K385" si="26">_xlfn.IFS(
J322&lt;=0.55,"50~55",
J322&lt;=0.6,"55~60",
J322&lt;=0.65,"60~65",
J322&lt;=0.7,"65~70",
TRUE,"70~100"
)</f>
        <v>50~55</v>
      </c>
      <c r="L322" t="str">
        <f t="shared" ref="L322:L385" si="27">IF(H322&gt;=0.5,"HOME","AWAY")</f>
        <v>AWAY</v>
      </c>
      <c r="M322">
        <f t="shared" ref="M322:M385" si="28">IF(AND(N322&lt;&gt;"", OR(N322=0, N322=1)), (J322-N322)^2, "")</f>
        <v>0.28418784705089972</v>
      </c>
      <c r="N322">
        <v>0</v>
      </c>
      <c r="O322">
        <f t="shared" ref="O322:O385" si="29">IF(AND(N322&lt;&gt;"", OR(N322=0, N322=1)), IF(ROUND(H322,0)=N322, 1, 0), "")</f>
        <v>1</v>
      </c>
    </row>
    <row r="323" spans="1:15" x14ac:dyDescent="0.6">
      <c r="A323">
        <v>20260366</v>
      </c>
      <c r="B323" t="s">
        <v>100</v>
      </c>
      <c r="C323" t="s">
        <v>28</v>
      </c>
      <c r="D323" t="s">
        <v>16</v>
      </c>
      <c r="E323">
        <v>5002</v>
      </c>
      <c r="F323">
        <v>6002</v>
      </c>
      <c r="G323">
        <v>53.05</v>
      </c>
      <c r="H323">
        <v>0.53050852521951797</v>
      </c>
      <c r="I323" t="s">
        <v>70</v>
      </c>
      <c r="J323">
        <f t="shared" si="25"/>
        <v>0.53050852521951797</v>
      </c>
      <c r="K323" t="str">
        <f t="shared" si="26"/>
        <v>50~55</v>
      </c>
      <c r="L323" t="str">
        <f t="shared" si="27"/>
        <v>HOME</v>
      </c>
      <c r="M323">
        <f t="shared" si="28"/>
        <v>0.22042224489155199</v>
      </c>
      <c r="N323">
        <v>1</v>
      </c>
      <c r="O323">
        <f t="shared" si="29"/>
        <v>1</v>
      </c>
    </row>
    <row r="324" spans="1:15" x14ac:dyDescent="0.6">
      <c r="A324">
        <v>20260368</v>
      </c>
      <c r="B324" t="s">
        <v>100</v>
      </c>
      <c r="C324" t="s">
        <v>24</v>
      </c>
      <c r="D324" t="s">
        <v>21</v>
      </c>
      <c r="E324">
        <v>12001</v>
      </c>
      <c r="F324">
        <v>2002</v>
      </c>
      <c r="G324">
        <v>60.15</v>
      </c>
      <c r="H324">
        <v>0.60153073805128332</v>
      </c>
      <c r="I324" t="s">
        <v>70</v>
      </c>
      <c r="J324">
        <f t="shared" si="25"/>
        <v>0.60153073805128332</v>
      </c>
      <c r="K324" t="str">
        <f t="shared" si="26"/>
        <v>60~65</v>
      </c>
      <c r="L324" t="str">
        <f t="shared" si="27"/>
        <v>HOME</v>
      </c>
      <c r="M324">
        <f t="shared" si="28"/>
        <v>0.36183922882052161</v>
      </c>
      <c r="N324">
        <v>0</v>
      </c>
      <c r="O324">
        <f t="shared" si="29"/>
        <v>0</v>
      </c>
    </row>
    <row r="325" spans="1:15" x14ac:dyDescent="0.6">
      <c r="A325">
        <v>20260369</v>
      </c>
      <c r="B325" t="s">
        <v>100</v>
      </c>
      <c r="C325" t="s">
        <v>20</v>
      </c>
      <c r="D325" t="s">
        <v>22</v>
      </c>
      <c r="E325">
        <v>7002</v>
      </c>
      <c r="F325">
        <v>1001</v>
      </c>
      <c r="G325">
        <v>49.63</v>
      </c>
      <c r="H325">
        <v>0.49625876944637198</v>
      </c>
      <c r="I325" t="s">
        <v>70</v>
      </c>
      <c r="J325">
        <f t="shared" si="25"/>
        <v>0.50374123055362796</v>
      </c>
      <c r="K325" t="str">
        <f t="shared" si="26"/>
        <v>50~55</v>
      </c>
      <c r="L325" t="str">
        <f t="shared" si="27"/>
        <v>AWAY</v>
      </c>
      <c r="M325">
        <f t="shared" si="28"/>
        <v>0.25375522735968337</v>
      </c>
      <c r="N325">
        <v>0</v>
      </c>
      <c r="O325">
        <f t="shared" si="29"/>
        <v>1</v>
      </c>
    </row>
    <row r="326" spans="1:15" x14ac:dyDescent="0.6">
      <c r="A326">
        <v>20260370</v>
      </c>
      <c r="B326" t="s">
        <v>100</v>
      </c>
      <c r="C326" t="s">
        <v>27</v>
      </c>
      <c r="D326" t="s">
        <v>19</v>
      </c>
      <c r="E326">
        <v>11001</v>
      </c>
      <c r="F326">
        <v>9002</v>
      </c>
      <c r="G326">
        <v>56.9</v>
      </c>
      <c r="H326">
        <v>0.56896134798612996</v>
      </c>
      <c r="I326" t="s">
        <v>70</v>
      </c>
      <c r="J326">
        <f t="shared" si="25"/>
        <v>0.56896134798612996</v>
      </c>
      <c r="K326" t="str">
        <f t="shared" si="26"/>
        <v>55~60</v>
      </c>
      <c r="L326" t="str">
        <f t="shared" si="27"/>
        <v>HOME</v>
      </c>
      <c r="M326">
        <f t="shared" si="28"/>
        <v>0.32371701550219406</v>
      </c>
      <c r="N326">
        <v>0</v>
      </c>
      <c r="O326">
        <f t="shared" si="29"/>
        <v>0</v>
      </c>
    </row>
    <row r="327" spans="1:15" x14ac:dyDescent="0.6">
      <c r="A327">
        <v>20260371</v>
      </c>
      <c r="B327" t="s">
        <v>101</v>
      </c>
      <c r="C327" t="s">
        <v>28</v>
      </c>
      <c r="D327" t="s">
        <v>22</v>
      </c>
      <c r="E327">
        <v>5002</v>
      </c>
      <c r="F327">
        <v>1001</v>
      </c>
      <c r="G327">
        <v>45.54</v>
      </c>
      <c r="H327">
        <v>0.45539587034450463</v>
      </c>
      <c r="I327" t="s">
        <v>70</v>
      </c>
      <c r="J327">
        <f t="shared" si="25"/>
        <v>0.54460412965549532</v>
      </c>
      <c r="K327" t="str">
        <f t="shared" si="26"/>
        <v>50~55</v>
      </c>
      <c r="L327" t="str">
        <f t="shared" si="27"/>
        <v>AWAY</v>
      </c>
      <c r="M327">
        <f t="shared" si="28"/>
        <v>0.20738539872682893</v>
      </c>
      <c r="N327">
        <v>1</v>
      </c>
      <c r="O327">
        <f t="shared" si="29"/>
        <v>0</v>
      </c>
    </row>
    <row r="328" spans="1:15" x14ac:dyDescent="0.6">
      <c r="A328">
        <v>20260372</v>
      </c>
      <c r="B328" t="s">
        <v>101</v>
      </c>
      <c r="C328" t="s">
        <v>17</v>
      </c>
      <c r="D328" t="s">
        <v>21</v>
      </c>
      <c r="E328">
        <v>10001</v>
      </c>
      <c r="F328">
        <v>2002</v>
      </c>
      <c r="G328">
        <v>40.159999999999997</v>
      </c>
      <c r="H328">
        <v>0.40156292490768603</v>
      </c>
      <c r="I328" t="s">
        <v>70</v>
      </c>
      <c r="J328">
        <f t="shared" si="25"/>
        <v>0.59843707509231403</v>
      </c>
      <c r="K328" t="str">
        <f t="shared" si="26"/>
        <v>55~60</v>
      </c>
      <c r="L328" t="str">
        <f t="shared" si="27"/>
        <v>AWAY</v>
      </c>
      <c r="M328">
        <f t="shared" si="28"/>
        <v>0.35812693284504388</v>
      </c>
      <c r="N328">
        <v>0</v>
      </c>
      <c r="O328">
        <f t="shared" si="29"/>
        <v>1</v>
      </c>
    </row>
    <row r="329" spans="1:15" x14ac:dyDescent="0.6">
      <c r="A329">
        <v>20260373</v>
      </c>
      <c r="B329" t="s">
        <v>101</v>
      </c>
      <c r="C329" t="s">
        <v>24</v>
      </c>
      <c r="D329" t="s">
        <v>19</v>
      </c>
      <c r="E329">
        <v>12001</v>
      </c>
      <c r="F329">
        <v>9002</v>
      </c>
      <c r="G329">
        <v>66.33</v>
      </c>
      <c r="H329">
        <v>0.66329279158122212</v>
      </c>
      <c r="I329" t="s">
        <v>70</v>
      </c>
      <c r="J329">
        <f t="shared" si="25"/>
        <v>0.66329279158122212</v>
      </c>
      <c r="K329" t="str">
        <f t="shared" si="26"/>
        <v>65~70</v>
      </c>
      <c r="L329" t="str">
        <f t="shared" si="27"/>
        <v>HOME</v>
      </c>
      <c r="M329">
        <f t="shared" si="28"/>
        <v>0.11337174420116633</v>
      </c>
      <c r="N329">
        <v>1</v>
      </c>
      <c r="O329">
        <f t="shared" si="29"/>
        <v>1</v>
      </c>
    </row>
    <row r="330" spans="1:15" x14ac:dyDescent="0.6">
      <c r="A330">
        <v>20260374</v>
      </c>
      <c r="B330" t="s">
        <v>101</v>
      </c>
      <c r="C330" t="s">
        <v>20</v>
      </c>
      <c r="D330" t="s">
        <v>16</v>
      </c>
      <c r="E330">
        <v>7002</v>
      </c>
      <c r="F330">
        <v>6002</v>
      </c>
      <c r="G330">
        <v>82.13</v>
      </c>
      <c r="H330">
        <v>0.82126101188501188</v>
      </c>
      <c r="I330" t="s">
        <v>70</v>
      </c>
      <c r="J330">
        <f t="shared" si="25"/>
        <v>0.82126101188501188</v>
      </c>
      <c r="K330" t="str">
        <f t="shared" si="26"/>
        <v>70~100</v>
      </c>
      <c r="L330" t="str">
        <f t="shared" si="27"/>
        <v>HOME</v>
      </c>
      <c r="M330">
        <f t="shared" si="28"/>
        <v>3.1947625872369864E-2</v>
      </c>
      <c r="N330">
        <v>1</v>
      </c>
      <c r="O330">
        <f t="shared" si="29"/>
        <v>1</v>
      </c>
    </row>
    <row r="331" spans="1:15" x14ac:dyDescent="0.6">
      <c r="A331">
        <v>20260375</v>
      </c>
      <c r="B331" t="s">
        <v>101</v>
      </c>
      <c r="C331" t="s">
        <v>23</v>
      </c>
      <c r="D331" t="s">
        <v>27</v>
      </c>
      <c r="E331">
        <v>3001</v>
      </c>
      <c r="F331">
        <v>11001</v>
      </c>
      <c r="G331">
        <v>39.229999999999997</v>
      </c>
      <c r="H331">
        <v>0.392278922212418</v>
      </c>
      <c r="I331" t="s">
        <v>70</v>
      </c>
      <c r="J331">
        <f t="shared" si="25"/>
        <v>0.607721077787582</v>
      </c>
      <c r="K331" t="str">
        <f t="shared" si="26"/>
        <v>60~65</v>
      </c>
      <c r="L331" t="str">
        <f t="shared" si="27"/>
        <v>AWAY</v>
      </c>
      <c r="M331">
        <f t="shared" si="28"/>
        <v>0.15388275281213629</v>
      </c>
      <c r="N331">
        <v>1</v>
      </c>
      <c r="O331">
        <f t="shared" si="29"/>
        <v>0</v>
      </c>
    </row>
    <row r="332" spans="1:15" x14ac:dyDescent="0.6">
      <c r="A332">
        <v>20260376</v>
      </c>
      <c r="B332" t="s">
        <v>102</v>
      </c>
      <c r="C332" t="s">
        <v>28</v>
      </c>
      <c r="D332" t="s">
        <v>22</v>
      </c>
      <c r="E332">
        <v>5002</v>
      </c>
      <c r="F332">
        <v>1001</v>
      </c>
      <c r="G332">
        <v>46.9</v>
      </c>
      <c r="H332">
        <v>0.46897678414543981</v>
      </c>
      <c r="I332" t="s">
        <v>70</v>
      </c>
      <c r="J332">
        <f t="shared" si="25"/>
        <v>0.53102321585456025</v>
      </c>
      <c r="K332" t="str">
        <f t="shared" si="26"/>
        <v>50~55</v>
      </c>
      <c r="L332" t="str">
        <f t="shared" si="27"/>
        <v>AWAY</v>
      </c>
      <c r="M332">
        <f t="shared" si="28"/>
        <v>0.21993922406739838</v>
      </c>
      <c r="N332">
        <v>1</v>
      </c>
      <c r="O332">
        <f t="shared" si="29"/>
        <v>0</v>
      </c>
    </row>
    <row r="333" spans="1:15" x14ac:dyDescent="0.6">
      <c r="A333">
        <v>20260377</v>
      </c>
      <c r="B333" t="s">
        <v>102</v>
      </c>
      <c r="C333" t="s">
        <v>17</v>
      </c>
      <c r="D333" t="s">
        <v>21</v>
      </c>
      <c r="E333">
        <v>10001</v>
      </c>
      <c r="F333">
        <v>2002</v>
      </c>
      <c r="G333">
        <v>66.290000000000006</v>
      </c>
      <c r="H333">
        <v>0.66289163921308558</v>
      </c>
      <c r="I333" t="s">
        <v>70</v>
      </c>
      <c r="J333">
        <f t="shared" si="25"/>
        <v>0.66289163921308558</v>
      </c>
      <c r="K333" t="str">
        <f t="shared" si="26"/>
        <v>65~70</v>
      </c>
      <c r="L333" t="str">
        <f t="shared" si="27"/>
        <v>HOME</v>
      </c>
      <c r="M333">
        <f t="shared" si="28"/>
        <v>0.43942532533861162</v>
      </c>
      <c r="N333">
        <v>0</v>
      </c>
      <c r="O333">
        <f t="shared" si="29"/>
        <v>0</v>
      </c>
    </row>
    <row r="334" spans="1:15" x14ac:dyDescent="0.6">
      <c r="A334">
        <v>20260378</v>
      </c>
      <c r="B334" t="s">
        <v>102</v>
      </c>
      <c r="C334" t="s">
        <v>24</v>
      </c>
      <c r="D334" t="s">
        <v>19</v>
      </c>
      <c r="E334">
        <v>12001</v>
      </c>
      <c r="F334">
        <v>9002</v>
      </c>
      <c r="G334">
        <v>63.5</v>
      </c>
      <c r="H334">
        <v>0.6349878062866734</v>
      </c>
      <c r="I334" t="s">
        <v>70</v>
      </c>
      <c r="J334">
        <f t="shared" si="25"/>
        <v>0.6349878062866734</v>
      </c>
      <c r="K334" t="str">
        <f t="shared" si="26"/>
        <v>60~65</v>
      </c>
      <c r="L334" t="str">
        <f t="shared" si="27"/>
        <v>HOME</v>
      </c>
      <c r="M334">
        <f t="shared" si="28"/>
        <v>0.40320951413276185</v>
      </c>
      <c r="N334">
        <v>0</v>
      </c>
      <c r="O334">
        <f t="shared" si="29"/>
        <v>0</v>
      </c>
    </row>
    <row r="335" spans="1:15" x14ac:dyDescent="0.6">
      <c r="A335">
        <v>20260379</v>
      </c>
      <c r="B335" t="s">
        <v>102</v>
      </c>
      <c r="C335" t="s">
        <v>20</v>
      </c>
      <c r="D335" t="s">
        <v>16</v>
      </c>
      <c r="E335">
        <v>7002</v>
      </c>
      <c r="F335">
        <v>6002</v>
      </c>
      <c r="G335">
        <v>42.19</v>
      </c>
      <c r="H335">
        <v>0.42189153197338131</v>
      </c>
      <c r="I335" t="s">
        <v>70</v>
      </c>
      <c r="J335">
        <f t="shared" si="25"/>
        <v>0.57810846802661864</v>
      </c>
      <c r="K335" t="str">
        <f t="shared" si="26"/>
        <v>55~60</v>
      </c>
      <c r="L335" t="str">
        <f t="shared" si="27"/>
        <v>AWAY</v>
      </c>
      <c r="M335">
        <f t="shared" si="28"/>
        <v>0.33420940080408396</v>
      </c>
      <c r="N335">
        <v>0</v>
      </c>
      <c r="O335">
        <f t="shared" si="29"/>
        <v>1</v>
      </c>
    </row>
    <row r="336" spans="1:15" x14ac:dyDescent="0.6">
      <c r="A336">
        <v>20260380</v>
      </c>
      <c r="B336" t="s">
        <v>102</v>
      </c>
      <c r="C336" t="s">
        <v>23</v>
      </c>
      <c r="D336" t="s">
        <v>27</v>
      </c>
      <c r="E336">
        <v>3001</v>
      </c>
      <c r="F336">
        <v>11001</v>
      </c>
      <c r="G336">
        <v>58.02</v>
      </c>
      <c r="H336">
        <v>0.58017566547137833</v>
      </c>
      <c r="I336" t="s">
        <v>70</v>
      </c>
      <c r="J336">
        <f t="shared" si="25"/>
        <v>0.58017566547137833</v>
      </c>
      <c r="K336" t="str">
        <f t="shared" si="26"/>
        <v>55~60</v>
      </c>
      <c r="L336" t="str">
        <f t="shared" si="27"/>
        <v>HOME</v>
      </c>
      <c r="M336">
        <f t="shared" si="28"/>
        <v>0.17625247186240003</v>
      </c>
      <c r="N336">
        <v>1</v>
      </c>
      <c r="O336">
        <f t="shared" si="29"/>
        <v>1</v>
      </c>
    </row>
    <row r="337" spans="1:15" x14ac:dyDescent="0.6">
      <c r="A337">
        <v>20260381</v>
      </c>
      <c r="B337" t="s">
        <v>103</v>
      </c>
      <c r="C337" t="s">
        <v>28</v>
      </c>
      <c r="D337" t="s">
        <v>22</v>
      </c>
      <c r="E337">
        <v>5002</v>
      </c>
      <c r="F337">
        <v>1001</v>
      </c>
      <c r="G337">
        <v>36.549999999999997</v>
      </c>
      <c r="H337">
        <v>0.36553793794632677</v>
      </c>
      <c r="I337" t="s">
        <v>70</v>
      </c>
      <c r="J337">
        <f t="shared" si="25"/>
        <v>0.63446206205367317</v>
      </c>
      <c r="K337" t="str">
        <f t="shared" si="26"/>
        <v>60~65</v>
      </c>
      <c r="L337" t="str">
        <f t="shared" si="27"/>
        <v>AWAY</v>
      </c>
      <c r="M337">
        <f t="shared" si="28"/>
        <v>0.40254210818539904</v>
      </c>
      <c r="N337">
        <v>0</v>
      </c>
      <c r="O337">
        <f t="shared" si="29"/>
        <v>1</v>
      </c>
    </row>
    <row r="338" spans="1:15" x14ac:dyDescent="0.6">
      <c r="A338">
        <v>20260382</v>
      </c>
      <c r="B338" t="s">
        <v>103</v>
      </c>
      <c r="C338" t="s">
        <v>17</v>
      </c>
      <c r="D338" t="s">
        <v>21</v>
      </c>
      <c r="E338">
        <v>10001</v>
      </c>
      <c r="F338">
        <v>2002</v>
      </c>
      <c r="G338">
        <v>50</v>
      </c>
      <c r="H338">
        <v>0.50000817568268907</v>
      </c>
      <c r="I338" t="s">
        <v>70</v>
      </c>
      <c r="J338">
        <f t="shared" si="25"/>
        <v>0.50000817568268907</v>
      </c>
      <c r="K338" t="str">
        <f t="shared" si="26"/>
        <v>50~55</v>
      </c>
      <c r="L338" t="str">
        <f t="shared" si="27"/>
        <v>HOME</v>
      </c>
      <c r="M338">
        <f t="shared" si="28"/>
        <v>0.25000817574953088</v>
      </c>
      <c r="N338">
        <v>0</v>
      </c>
      <c r="O338">
        <f t="shared" si="29"/>
        <v>0</v>
      </c>
    </row>
    <row r="339" spans="1:15" x14ac:dyDescent="0.6">
      <c r="A339">
        <v>20260383</v>
      </c>
      <c r="B339" t="s">
        <v>103</v>
      </c>
      <c r="C339" t="s">
        <v>24</v>
      </c>
      <c r="D339" t="s">
        <v>19</v>
      </c>
      <c r="E339">
        <v>12001</v>
      </c>
      <c r="F339">
        <v>9002</v>
      </c>
      <c r="G339">
        <v>68.010000000000005</v>
      </c>
      <c r="H339">
        <v>0.68010263967340912</v>
      </c>
      <c r="I339" t="s">
        <v>70</v>
      </c>
      <c r="J339">
        <f t="shared" si="25"/>
        <v>0.68010263967340912</v>
      </c>
      <c r="K339" t="str">
        <f t="shared" si="26"/>
        <v>65~70</v>
      </c>
      <c r="L339" t="str">
        <f t="shared" si="27"/>
        <v>HOME</v>
      </c>
      <c r="M339">
        <f t="shared" si="28"/>
        <v>0.10233432114392073</v>
      </c>
      <c r="N339">
        <v>1</v>
      </c>
      <c r="O339">
        <f t="shared" si="29"/>
        <v>1</v>
      </c>
    </row>
    <row r="340" spans="1:15" x14ac:dyDescent="0.6">
      <c r="A340">
        <v>20260384</v>
      </c>
      <c r="B340" t="s">
        <v>103</v>
      </c>
      <c r="C340" t="s">
        <v>20</v>
      </c>
      <c r="D340" t="s">
        <v>16</v>
      </c>
      <c r="E340">
        <v>7002</v>
      </c>
      <c r="F340">
        <v>6002</v>
      </c>
      <c r="G340">
        <v>34.9</v>
      </c>
      <c r="H340">
        <v>0.34898898097920977</v>
      </c>
      <c r="I340" t="s">
        <v>70</v>
      </c>
      <c r="J340">
        <f t="shared" si="25"/>
        <v>0.65101101902079028</v>
      </c>
      <c r="K340" t="str">
        <f t="shared" si="26"/>
        <v>65~70</v>
      </c>
      <c r="L340" t="str">
        <f t="shared" si="27"/>
        <v>AWAY</v>
      </c>
      <c r="M340">
        <f t="shared" si="28"/>
        <v>0.42381534688648775</v>
      </c>
      <c r="N340">
        <v>0</v>
      </c>
      <c r="O340">
        <f t="shared" si="29"/>
        <v>1</v>
      </c>
    </row>
    <row r="341" spans="1:15" x14ac:dyDescent="0.6">
      <c r="A341">
        <v>20260385</v>
      </c>
      <c r="B341" t="s">
        <v>103</v>
      </c>
      <c r="C341" t="s">
        <v>23</v>
      </c>
      <c r="D341" t="s">
        <v>27</v>
      </c>
      <c r="E341">
        <v>3001</v>
      </c>
      <c r="F341">
        <v>11001</v>
      </c>
      <c r="G341">
        <v>52.13</v>
      </c>
      <c r="H341">
        <v>0.52125181925958108</v>
      </c>
      <c r="I341" t="s">
        <v>70</v>
      </c>
      <c r="J341">
        <f t="shared" si="25"/>
        <v>0.52125181925958108</v>
      </c>
      <c r="K341" t="str">
        <f t="shared" si="26"/>
        <v>50~55</v>
      </c>
      <c r="L341" t="str">
        <f t="shared" si="27"/>
        <v>HOME</v>
      </c>
      <c r="M341">
        <f t="shared" si="28"/>
        <v>0.27170345908142296</v>
      </c>
      <c r="N341">
        <v>0</v>
      </c>
      <c r="O341">
        <f t="shared" si="29"/>
        <v>0</v>
      </c>
    </row>
    <row r="342" spans="1:15" x14ac:dyDescent="0.6">
      <c r="A342">
        <v>20260386</v>
      </c>
      <c r="B342" t="s">
        <v>104</v>
      </c>
      <c r="C342" t="s">
        <v>16</v>
      </c>
      <c r="D342" t="s">
        <v>21</v>
      </c>
      <c r="E342">
        <v>6002</v>
      </c>
      <c r="F342">
        <v>2002</v>
      </c>
      <c r="G342">
        <v>60.81</v>
      </c>
      <c r="H342">
        <v>0.60810549198591124</v>
      </c>
      <c r="I342" t="s">
        <v>70</v>
      </c>
      <c r="J342">
        <f t="shared" si="25"/>
        <v>0.60810549198591124</v>
      </c>
      <c r="K342" t="str">
        <f t="shared" si="26"/>
        <v>60~65</v>
      </c>
      <c r="L342" t="str">
        <f t="shared" si="27"/>
        <v>HOME</v>
      </c>
      <c r="M342">
        <f t="shared" si="28"/>
        <v>0.15358130541160467</v>
      </c>
      <c r="N342">
        <v>1</v>
      </c>
      <c r="O342">
        <f t="shared" si="29"/>
        <v>1</v>
      </c>
    </row>
    <row r="343" spans="1:15" x14ac:dyDescent="0.6">
      <c r="A343">
        <v>20260387</v>
      </c>
      <c r="B343" t="s">
        <v>104</v>
      </c>
      <c r="C343" t="s">
        <v>19</v>
      </c>
      <c r="D343" t="s">
        <v>20</v>
      </c>
      <c r="E343">
        <v>9002</v>
      </c>
      <c r="F343">
        <v>7002</v>
      </c>
      <c r="G343">
        <v>46.47</v>
      </c>
      <c r="H343">
        <v>0.4646658054906409</v>
      </c>
      <c r="I343" t="s">
        <v>70</v>
      </c>
      <c r="J343">
        <f t="shared" si="25"/>
        <v>0.53533419450935904</v>
      </c>
      <c r="K343" t="str">
        <f t="shared" si="26"/>
        <v>50~55</v>
      </c>
      <c r="L343" t="str">
        <f t="shared" si="27"/>
        <v>AWAY</v>
      </c>
      <c r="M343">
        <f t="shared" si="28"/>
        <v>0.28658269981098428</v>
      </c>
      <c r="N343">
        <v>0</v>
      </c>
      <c r="O343">
        <f t="shared" si="29"/>
        <v>1</v>
      </c>
    </row>
    <row r="344" spans="1:15" x14ac:dyDescent="0.6">
      <c r="A344">
        <v>20260388</v>
      </c>
      <c r="B344" t="s">
        <v>104</v>
      </c>
      <c r="C344" t="s">
        <v>22</v>
      </c>
      <c r="D344" t="s">
        <v>24</v>
      </c>
      <c r="E344">
        <v>1001</v>
      </c>
      <c r="F344">
        <v>12001</v>
      </c>
      <c r="G344">
        <v>44.66</v>
      </c>
      <c r="H344">
        <v>0.44658187789933179</v>
      </c>
      <c r="I344" t="s">
        <v>70</v>
      </c>
      <c r="J344">
        <f t="shared" si="25"/>
        <v>0.55341812210066821</v>
      </c>
      <c r="K344" t="str">
        <f t="shared" si="26"/>
        <v>55~60</v>
      </c>
      <c r="L344" t="str">
        <f t="shared" si="27"/>
        <v>AWAY</v>
      </c>
      <c r="M344">
        <f t="shared" si="28"/>
        <v>0.19943537366809369</v>
      </c>
      <c r="N344">
        <v>1</v>
      </c>
      <c r="O344">
        <f t="shared" si="29"/>
        <v>0</v>
      </c>
    </row>
    <row r="345" spans="1:15" x14ac:dyDescent="0.6">
      <c r="A345">
        <v>20260389</v>
      </c>
      <c r="B345" t="s">
        <v>104</v>
      </c>
      <c r="C345" t="s">
        <v>23</v>
      </c>
      <c r="D345" t="s">
        <v>28</v>
      </c>
      <c r="E345">
        <v>3001</v>
      </c>
      <c r="F345">
        <v>5002</v>
      </c>
      <c r="G345">
        <v>45.96</v>
      </c>
      <c r="H345">
        <v>0.45962713050605652</v>
      </c>
      <c r="I345" t="s">
        <v>70</v>
      </c>
      <c r="J345">
        <f t="shared" si="25"/>
        <v>0.54037286949394348</v>
      </c>
      <c r="K345" t="str">
        <f t="shared" si="26"/>
        <v>50~55</v>
      </c>
      <c r="L345" t="str">
        <f t="shared" si="27"/>
        <v>AWAY</v>
      </c>
      <c r="M345">
        <f t="shared" si="28"/>
        <v>0.2112570990972315</v>
      </c>
      <c r="N345">
        <v>1</v>
      </c>
      <c r="O345">
        <f t="shared" si="29"/>
        <v>0</v>
      </c>
    </row>
    <row r="346" spans="1:15" x14ac:dyDescent="0.6">
      <c r="A346">
        <v>20260390</v>
      </c>
      <c r="B346" t="s">
        <v>104</v>
      </c>
      <c r="C346" t="s">
        <v>27</v>
      </c>
      <c r="D346" t="s">
        <v>17</v>
      </c>
      <c r="E346">
        <v>11001</v>
      </c>
      <c r="F346">
        <v>10001</v>
      </c>
      <c r="G346">
        <v>54.87</v>
      </c>
      <c r="H346">
        <v>0.54872140038383022</v>
      </c>
      <c r="I346" t="s">
        <v>70</v>
      </c>
      <c r="J346">
        <f t="shared" si="25"/>
        <v>0.54872140038383022</v>
      </c>
      <c r="K346" t="str">
        <f t="shared" si="26"/>
        <v>50~55</v>
      </c>
      <c r="L346" t="str">
        <f t="shared" si="27"/>
        <v>HOME</v>
      </c>
      <c r="M346">
        <f t="shared" si="28"/>
        <v>0.20365237447153128</v>
      </c>
      <c r="N346">
        <v>1</v>
      </c>
      <c r="O346">
        <f t="shared" si="29"/>
        <v>1</v>
      </c>
    </row>
    <row r="347" spans="1:15" x14ac:dyDescent="0.6">
      <c r="A347">
        <v>20260401</v>
      </c>
      <c r="B347" t="s">
        <v>105</v>
      </c>
      <c r="C347" t="s">
        <v>16</v>
      </c>
      <c r="D347" t="s">
        <v>23</v>
      </c>
      <c r="E347">
        <v>6002</v>
      </c>
      <c r="F347">
        <v>3001</v>
      </c>
      <c r="G347">
        <v>59.09</v>
      </c>
      <c r="H347">
        <v>0.59085390608321264</v>
      </c>
      <c r="I347" t="s">
        <v>70</v>
      </c>
      <c r="J347">
        <f t="shared" si="25"/>
        <v>0.59085390608321264</v>
      </c>
      <c r="K347" t="str">
        <f t="shared" si="26"/>
        <v>55~60</v>
      </c>
      <c r="L347" t="str">
        <f t="shared" si="27"/>
        <v>HOME</v>
      </c>
      <c r="M347">
        <f t="shared" si="28"/>
        <v>0.16740052616736459</v>
      </c>
      <c r="N347">
        <v>1</v>
      </c>
      <c r="O347">
        <f t="shared" si="29"/>
        <v>1</v>
      </c>
    </row>
    <row r="348" spans="1:15" x14ac:dyDescent="0.6">
      <c r="A348">
        <v>20260402</v>
      </c>
      <c r="B348" t="s">
        <v>105</v>
      </c>
      <c r="C348" t="s">
        <v>17</v>
      </c>
      <c r="D348" t="s">
        <v>28</v>
      </c>
      <c r="E348">
        <v>10001</v>
      </c>
      <c r="F348">
        <v>5002</v>
      </c>
      <c r="G348">
        <v>55.26</v>
      </c>
      <c r="H348">
        <v>0.55261655131179421</v>
      </c>
      <c r="I348" t="s">
        <v>70</v>
      </c>
      <c r="J348">
        <f t="shared" si="25"/>
        <v>0.55261655131179421</v>
      </c>
      <c r="K348" t="str">
        <f t="shared" si="26"/>
        <v>55~60</v>
      </c>
      <c r="L348" t="str">
        <f t="shared" si="27"/>
        <v>HOME</v>
      </c>
      <c r="M348">
        <f t="shared" si="28"/>
        <v>0.20015195016015247</v>
      </c>
      <c r="N348">
        <v>1</v>
      </c>
      <c r="O348">
        <f t="shared" si="29"/>
        <v>1</v>
      </c>
    </row>
    <row r="349" spans="1:15" x14ac:dyDescent="0.6">
      <c r="A349">
        <v>20260403</v>
      </c>
      <c r="B349" t="s">
        <v>105</v>
      </c>
      <c r="C349" t="s">
        <v>20</v>
      </c>
      <c r="D349" t="s">
        <v>24</v>
      </c>
      <c r="E349">
        <v>7002</v>
      </c>
      <c r="F349">
        <v>12001</v>
      </c>
      <c r="G349">
        <v>55.89</v>
      </c>
      <c r="H349">
        <v>0.55891714276602733</v>
      </c>
      <c r="I349" t="s">
        <v>70</v>
      </c>
      <c r="J349">
        <f t="shared" si="25"/>
        <v>0.55891714276602733</v>
      </c>
      <c r="K349" t="str">
        <f t="shared" si="26"/>
        <v>55~60</v>
      </c>
      <c r="L349" t="str">
        <f t="shared" si="27"/>
        <v>HOME</v>
      </c>
      <c r="M349" t="str">
        <f t="shared" si="28"/>
        <v/>
      </c>
      <c r="N349" t="s">
        <v>31</v>
      </c>
      <c r="O349" t="str">
        <f t="shared" si="29"/>
        <v/>
      </c>
    </row>
    <row r="350" spans="1:15" x14ac:dyDescent="0.6">
      <c r="A350">
        <v>20260404</v>
      </c>
      <c r="B350" t="s">
        <v>105</v>
      </c>
      <c r="C350" t="s">
        <v>21</v>
      </c>
      <c r="D350" t="s">
        <v>19</v>
      </c>
      <c r="E350">
        <v>2002</v>
      </c>
      <c r="F350">
        <v>9002</v>
      </c>
      <c r="G350">
        <v>75.5</v>
      </c>
      <c r="H350">
        <v>0.75500835148216172</v>
      </c>
      <c r="I350" t="s">
        <v>70</v>
      </c>
      <c r="J350">
        <f t="shared" si="25"/>
        <v>0.75500835148216172</v>
      </c>
      <c r="K350" t="str">
        <f t="shared" si="26"/>
        <v>70~100</v>
      </c>
      <c r="L350" t="str">
        <f t="shared" si="27"/>
        <v>HOME</v>
      </c>
      <c r="M350">
        <f t="shared" si="28"/>
        <v>6.0020907843488014E-2</v>
      </c>
      <c r="N350">
        <v>1</v>
      </c>
      <c r="O350">
        <f t="shared" si="29"/>
        <v>1</v>
      </c>
    </row>
    <row r="351" spans="1:15" x14ac:dyDescent="0.6">
      <c r="A351">
        <v>20260405</v>
      </c>
      <c r="B351" t="s">
        <v>105</v>
      </c>
      <c r="C351" t="s">
        <v>27</v>
      </c>
      <c r="D351" t="s">
        <v>22</v>
      </c>
      <c r="E351">
        <v>11001</v>
      </c>
      <c r="F351">
        <v>1001</v>
      </c>
      <c r="G351">
        <v>35.81</v>
      </c>
      <c r="H351">
        <v>0.35814860755641431</v>
      </c>
      <c r="I351" t="s">
        <v>70</v>
      </c>
      <c r="J351">
        <f t="shared" si="25"/>
        <v>0.64185139244358569</v>
      </c>
      <c r="K351" t="str">
        <f t="shared" si="26"/>
        <v>60~65</v>
      </c>
      <c r="L351" t="str">
        <f t="shared" si="27"/>
        <v>AWAY</v>
      </c>
      <c r="M351">
        <f t="shared" si="28"/>
        <v>0.41197320998176984</v>
      </c>
      <c r="N351">
        <v>0</v>
      </c>
      <c r="O351">
        <f t="shared" si="29"/>
        <v>1</v>
      </c>
    </row>
    <row r="352" spans="1:15" x14ac:dyDescent="0.6">
      <c r="A352">
        <v>20260406</v>
      </c>
      <c r="B352" t="s">
        <v>106</v>
      </c>
      <c r="C352" t="s">
        <v>16</v>
      </c>
      <c r="D352" t="s">
        <v>23</v>
      </c>
      <c r="E352">
        <v>6002</v>
      </c>
      <c r="F352">
        <v>3001</v>
      </c>
      <c r="G352">
        <v>57.96</v>
      </c>
      <c r="H352">
        <v>0.57956315704946459</v>
      </c>
      <c r="I352" t="s">
        <v>70</v>
      </c>
      <c r="J352">
        <f t="shared" si="25"/>
        <v>0.57956315704946459</v>
      </c>
      <c r="K352" t="str">
        <f t="shared" si="26"/>
        <v>55~60</v>
      </c>
      <c r="L352" t="str">
        <f t="shared" si="27"/>
        <v>HOME</v>
      </c>
      <c r="M352">
        <f t="shared" si="28"/>
        <v>0.33589345300914236</v>
      </c>
      <c r="N352">
        <v>0</v>
      </c>
      <c r="O352">
        <f t="shared" si="29"/>
        <v>0</v>
      </c>
    </row>
    <row r="353" spans="1:15" x14ac:dyDescent="0.6">
      <c r="A353">
        <v>20260407</v>
      </c>
      <c r="B353" t="s">
        <v>106</v>
      </c>
      <c r="C353" t="s">
        <v>17</v>
      </c>
      <c r="D353" t="s">
        <v>28</v>
      </c>
      <c r="E353">
        <v>10001</v>
      </c>
      <c r="F353">
        <v>5002</v>
      </c>
      <c r="G353">
        <v>60.99</v>
      </c>
      <c r="H353">
        <v>0.60992587073718318</v>
      </c>
      <c r="I353" t="s">
        <v>70</v>
      </c>
      <c r="J353">
        <f t="shared" si="25"/>
        <v>0.60992587073718318</v>
      </c>
      <c r="K353" t="str">
        <f t="shared" si="26"/>
        <v>60~65</v>
      </c>
      <c r="L353" t="str">
        <f t="shared" si="27"/>
        <v>HOME</v>
      </c>
      <c r="M353">
        <f t="shared" si="28"/>
        <v>0.37200956779451111</v>
      </c>
      <c r="N353">
        <v>0</v>
      </c>
      <c r="O353">
        <f t="shared" si="29"/>
        <v>0</v>
      </c>
    </row>
    <row r="354" spans="1:15" x14ac:dyDescent="0.6">
      <c r="A354">
        <v>20260408</v>
      </c>
      <c r="B354" t="s">
        <v>106</v>
      </c>
      <c r="C354" t="s">
        <v>20</v>
      </c>
      <c r="D354" t="s">
        <v>24</v>
      </c>
      <c r="E354">
        <v>7002</v>
      </c>
      <c r="F354">
        <v>12001</v>
      </c>
      <c r="G354">
        <v>37.549999999999997</v>
      </c>
      <c r="H354">
        <v>0.37546097795149092</v>
      </c>
      <c r="I354" t="s">
        <v>70</v>
      </c>
      <c r="J354">
        <f t="shared" si="25"/>
        <v>0.62453902204850908</v>
      </c>
      <c r="K354" t="str">
        <f t="shared" si="26"/>
        <v>60~65</v>
      </c>
      <c r="L354" t="str">
        <f t="shared" si="27"/>
        <v>AWAY</v>
      </c>
      <c r="M354">
        <f t="shared" si="28"/>
        <v>0.39004899006130811</v>
      </c>
      <c r="N354">
        <v>0</v>
      </c>
      <c r="O354">
        <f t="shared" si="29"/>
        <v>1</v>
      </c>
    </row>
    <row r="355" spans="1:15" x14ac:dyDescent="0.6">
      <c r="A355">
        <v>20260409</v>
      </c>
      <c r="B355" t="s">
        <v>106</v>
      </c>
      <c r="C355" t="s">
        <v>21</v>
      </c>
      <c r="D355" t="s">
        <v>19</v>
      </c>
      <c r="E355">
        <v>2002</v>
      </c>
      <c r="F355">
        <v>9002</v>
      </c>
      <c r="G355">
        <v>58.6</v>
      </c>
      <c r="H355">
        <v>0.58595598025364681</v>
      </c>
      <c r="I355" t="s">
        <v>70</v>
      </c>
      <c r="J355">
        <f t="shared" si="25"/>
        <v>0.58595598025364681</v>
      </c>
      <c r="K355" t="str">
        <f t="shared" si="26"/>
        <v>55~60</v>
      </c>
      <c r="L355" t="str">
        <f t="shared" si="27"/>
        <v>HOME</v>
      </c>
      <c r="M355" t="str">
        <f t="shared" si="28"/>
        <v/>
      </c>
      <c r="N355" t="s">
        <v>50</v>
      </c>
      <c r="O355" t="str">
        <f t="shared" si="29"/>
        <v/>
      </c>
    </row>
    <row r="356" spans="1:15" x14ac:dyDescent="0.6">
      <c r="A356">
        <v>20260410</v>
      </c>
      <c r="B356" t="s">
        <v>106</v>
      </c>
      <c r="C356" t="s">
        <v>27</v>
      </c>
      <c r="D356" t="s">
        <v>22</v>
      </c>
      <c r="E356">
        <v>11001</v>
      </c>
      <c r="F356">
        <v>1001</v>
      </c>
      <c r="G356">
        <v>41.81</v>
      </c>
      <c r="H356">
        <v>0.41812270270933138</v>
      </c>
      <c r="I356" t="s">
        <v>70</v>
      </c>
      <c r="J356">
        <f t="shared" si="25"/>
        <v>0.58187729729066862</v>
      </c>
      <c r="K356" t="str">
        <f t="shared" si="26"/>
        <v>55~60</v>
      </c>
      <c r="L356" t="str">
        <f t="shared" si="27"/>
        <v>AWAY</v>
      </c>
      <c r="M356">
        <f t="shared" si="28"/>
        <v>0.17482659452095592</v>
      </c>
      <c r="N356">
        <v>1</v>
      </c>
      <c r="O356">
        <f t="shared" si="29"/>
        <v>0</v>
      </c>
    </row>
    <row r="357" spans="1:15" x14ac:dyDescent="0.6">
      <c r="A357">
        <v>20260411</v>
      </c>
      <c r="B357" t="s">
        <v>107</v>
      </c>
      <c r="C357" t="s">
        <v>16</v>
      </c>
      <c r="D357" t="s">
        <v>23</v>
      </c>
      <c r="E357">
        <v>6002</v>
      </c>
      <c r="F357">
        <v>3001</v>
      </c>
      <c r="G357">
        <v>63.43</v>
      </c>
      <c r="H357">
        <v>0.63434944139120997</v>
      </c>
      <c r="I357" t="s">
        <v>70</v>
      </c>
      <c r="J357">
        <f t="shared" si="25"/>
        <v>0.63434944139120997</v>
      </c>
      <c r="K357" t="str">
        <f t="shared" si="26"/>
        <v>60~65</v>
      </c>
      <c r="L357" t="str">
        <f t="shared" si="27"/>
        <v>HOME</v>
      </c>
      <c r="M357">
        <f t="shared" si="28"/>
        <v>0.13370033101092019</v>
      </c>
      <c r="N357">
        <v>1</v>
      </c>
      <c r="O357">
        <f t="shared" si="29"/>
        <v>1</v>
      </c>
    </row>
    <row r="358" spans="1:15" x14ac:dyDescent="0.6">
      <c r="A358">
        <v>20260412</v>
      </c>
      <c r="B358" t="s">
        <v>107</v>
      </c>
      <c r="C358" t="s">
        <v>17</v>
      </c>
      <c r="D358" t="s">
        <v>28</v>
      </c>
      <c r="E358">
        <v>10001</v>
      </c>
      <c r="F358">
        <v>5002</v>
      </c>
      <c r="G358">
        <v>48.88</v>
      </c>
      <c r="H358">
        <v>0.48881210343116333</v>
      </c>
      <c r="I358" t="s">
        <v>70</v>
      </c>
      <c r="J358">
        <f t="shared" si="25"/>
        <v>0.51118789656883667</v>
      </c>
      <c r="K358" t="str">
        <f t="shared" si="26"/>
        <v>50~55</v>
      </c>
      <c r="L358" t="str">
        <f t="shared" si="27"/>
        <v>AWAY</v>
      </c>
      <c r="M358">
        <f t="shared" si="28"/>
        <v>0.26131306559847167</v>
      </c>
      <c r="N358">
        <v>0</v>
      </c>
      <c r="O358">
        <f t="shared" si="29"/>
        <v>1</v>
      </c>
    </row>
    <row r="359" spans="1:15" x14ac:dyDescent="0.6">
      <c r="A359">
        <v>20260413</v>
      </c>
      <c r="B359" t="s">
        <v>107</v>
      </c>
      <c r="C359" t="s">
        <v>20</v>
      </c>
      <c r="D359" t="s">
        <v>24</v>
      </c>
      <c r="E359">
        <v>7002</v>
      </c>
      <c r="F359">
        <v>12001</v>
      </c>
      <c r="G359">
        <v>49.32</v>
      </c>
      <c r="H359">
        <v>0.49319574451776688</v>
      </c>
      <c r="I359" t="s">
        <v>70</v>
      </c>
      <c r="J359">
        <f t="shared" si="25"/>
        <v>0.50680425548223318</v>
      </c>
      <c r="K359" t="str">
        <f t="shared" si="26"/>
        <v>50~55</v>
      </c>
      <c r="L359" t="str">
        <f t="shared" si="27"/>
        <v>AWAY</v>
      </c>
      <c r="M359">
        <f t="shared" si="28"/>
        <v>0.24324204241043432</v>
      </c>
      <c r="N359">
        <v>1</v>
      </c>
      <c r="O359">
        <f t="shared" si="29"/>
        <v>0</v>
      </c>
    </row>
    <row r="360" spans="1:15" x14ac:dyDescent="0.6">
      <c r="A360">
        <v>20260414</v>
      </c>
      <c r="B360" t="s">
        <v>107</v>
      </c>
      <c r="C360" t="s">
        <v>21</v>
      </c>
      <c r="D360" t="s">
        <v>19</v>
      </c>
      <c r="E360">
        <v>2002</v>
      </c>
      <c r="F360">
        <v>9002</v>
      </c>
      <c r="G360">
        <v>73.23</v>
      </c>
      <c r="H360">
        <v>0.73232125132190407</v>
      </c>
      <c r="I360" t="s">
        <v>70</v>
      </c>
      <c r="J360">
        <f t="shared" si="25"/>
        <v>0.73232125132190407</v>
      </c>
      <c r="K360" t="str">
        <f t="shared" si="26"/>
        <v>70~100</v>
      </c>
      <c r="L360" t="str">
        <f t="shared" si="27"/>
        <v>HOME</v>
      </c>
      <c r="M360">
        <f t="shared" si="28"/>
        <v>7.1651912493871248E-2</v>
      </c>
      <c r="N360">
        <v>1</v>
      </c>
      <c r="O360">
        <f t="shared" si="29"/>
        <v>1</v>
      </c>
    </row>
    <row r="361" spans="1:15" x14ac:dyDescent="0.6">
      <c r="A361">
        <v>20260415</v>
      </c>
      <c r="B361" t="s">
        <v>107</v>
      </c>
      <c r="C361" t="s">
        <v>27</v>
      </c>
      <c r="D361" t="s">
        <v>22</v>
      </c>
      <c r="E361">
        <v>11001</v>
      </c>
      <c r="F361">
        <v>1001</v>
      </c>
      <c r="G361">
        <v>48.91</v>
      </c>
      <c r="H361">
        <v>0.48909795057059552</v>
      </c>
      <c r="I361" t="s">
        <v>70</v>
      </c>
      <c r="J361">
        <f t="shared" si="25"/>
        <v>0.51090204942940454</v>
      </c>
      <c r="K361" t="str">
        <f t="shared" si="26"/>
        <v>50~55</v>
      </c>
      <c r="L361" t="str">
        <f t="shared" si="27"/>
        <v>AWAY</v>
      </c>
      <c r="M361">
        <f t="shared" si="28"/>
        <v>0.26102090411116574</v>
      </c>
      <c r="N361">
        <v>0</v>
      </c>
      <c r="O361">
        <f t="shared" si="29"/>
        <v>1</v>
      </c>
    </row>
    <row r="362" spans="1:15" x14ac:dyDescent="0.6">
      <c r="A362">
        <v>20260416</v>
      </c>
      <c r="B362" t="s">
        <v>108</v>
      </c>
      <c r="C362" t="s">
        <v>28</v>
      </c>
      <c r="D362" t="s">
        <v>20</v>
      </c>
      <c r="E362">
        <v>5002</v>
      </c>
      <c r="F362">
        <v>7002</v>
      </c>
      <c r="G362">
        <v>48.05</v>
      </c>
      <c r="H362">
        <v>0.48052048793654328</v>
      </c>
      <c r="I362" t="s">
        <v>70</v>
      </c>
      <c r="J362">
        <f t="shared" si="25"/>
        <v>0.51947951206345677</v>
      </c>
      <c r="K362" t="str">
        <f t="shared" si="26"/>
        <v>50~55</v>
      </c>
      <c r="L362" t="str">
        <f t="shared" si="27"/>
        <v>AWAY</v>
      </c>
      <c r="M362">
        <f t="shared" si="28"/>
        <v>0.26985896345368715</v>
      </c>
      <c r="N362">
        <v>0</v>
      </c>
      <c r="O362">
        <f t="shared" si="29"/>
        <v>1</v>
      </c>
    </row>
    <row r="363" spans="1:15" x14ac:dyDescent="0.6">
      <c r="A363">
        <v>20260417</v>
      </c>
      <c r="B363" t="s">
        <v>108</v>
      </c>
      <c r="C363" t="s">
        <v>17</v>
      </c>
      <c r="D363" t="s">
        <v>16</v>
      </c>
      <c r="E363">
        <v>10001</v>
      </c>
      <c r="F363">
        <v>6002</v>
      </c>
      <c r="G363">
        <v>45.35</v>
      </c>
      <c r="H363">
        <v>0.45351631459790581</v>
      </c>
      <c r="I363" t="s">
        <v>70</v>
      </c>
      <c r="J363">
        <f t="shared" si="25"/>
        <v>0.54648368540209424</v>
      </c>
      <c r="K363" t="str">
        <f t="shared" si="26"/>
        <v>50~55</v>
      </c>
      <c r="L363" t="str">
        <f t="shared" si="27"/>
        <v>AWAY</v>
      </c>
      <c r="M363">
        <f t="shared" si="28"/>
        <v>0.20567704760646663</v>
      </c>
      <c r="N363">
        <v>1</v>
      </c>
      <c r="O363">
        <f t="shared" si="29"/>
        <v>0</v>
      </c>
    </row>
    <row r="364" spans="1:15" x14ac:dyDescent="0.6">
      <c r="A364">
        <v>20260418</v>
      </c>
      <c r="B364" t="s">
        <v>108</v>
      </c>
      <c r="C364" t="s">
        <v>19</v>
      </c>
      <c r="D364" t="s">
        <v>22</v>
      </c>
      <c r="E364">
        <v>9002</v>
      </c>
      <c r="F364">
        <v>1001</v>
      </c>
      <c r="G364">
        <v>31.75</v>
      </c>
      <c r="H364">
        <v>0.3175001002882944</v>
      </c>
      <c r="I364" t="s">
        <v>70</v>
      </c>
      <c r="J364">
        <f t="shared" si="25"/>
        <v>0.68249989971170555</v>
      </c>
      <c r="K364" t="str">
        <f t="shared" si="26"/>
        <v>65~70</v>
      </c>
      <c r="L364" t="str">
        <f t="shared" si="27"/>
        <v>AWAY</v>
      </c>
      <c r="M364">
        <f t="shared" si="28"/>
        <v>0.46580611310648812</v>
      </c>
      <c r="N364">
        <v>0</v>
      </c>
      <c r="O364">
        <f t="shared" si="29"/>
        <v>1</v>
      </c>
    </row>
    <row r="365" spans="1:15" x14ac:dyDescent="0.6">
      <c r="A365">
        <v>20260419</v>
      </c>
      <c r="B365" t="s">
        <v>108</v>
      </c>
      <c r="C365" t="s">
        <v>24</v>
      </c>
      <c r="D365" t="s">
        <v>23</v>
      </c>
      <c r="E365">
        <v>12001</v>
      </c>
      <c r="F365">
        <v>3001</v>
      </c>
      <c r="G365">
        <v>54.28</v>
      </c>
      <c r="H365">
        <v>0.54281774938630434</v>
      </c>
      <c r="I365" t="s">
        <v>70</v>
      </c>
      <c r="J365">
        <f t="shared" si="25"/>
        <v>0.54281774938630434</v>
      </c>
      <c r="K365" t="str">
        <f t="shared" si="26"/>
        <v>50~55</v>
      </c>
      <c r="L365" t="str">
        <f t="shared" si="27"/>
        <v>HOME</v>
      </c>
      <c r="M365">
        <f t="shared" si="28"/>
        <v>0.2946511090488127</v>
      </c>
      <c r="N365">
        <v>0</v>
      </c>
      <c r="O365">
        <f t="shared" si="29"/>
        <v>0</v>
      </c>
    </row>
    <row r="366" spans="1:15" x14ac:dyDescent="0.6">
      <c r="A366">
        <v>20260420</v>
      </c>
      <c r="B366" t="s">
        <v>108</v>
      </c>
      <c r="C366" t="s">
        <v>21</v>
      </c>
      <c r="D366" t="s">
        <v>27</v>
      </c>
      <c r="E366">
        <v>2002</v>
      </c>
      <c r="F366">
        <v>11001</v>
      </c>
      <c r="G366">
        <v>44.2</v>
      </c>
      <c r="H366">
        <v>0.44204195715918559</v>
      </c>
      <c r="I366" t="s">
        <v>70</v>
      </c>
      <c r="J366">
        <f t="shared" si="25"/>
        <v>0.55795804284081441</v>
      </c>
      <c r="K366" t="str">
        <f t="shared" si="26"/>
        <v>55~60</v>
      </c>
      <c r="L366" t="str">
        <f t="shared" si="27"/>
        <v>AWAY</v>
      </c>
      <c r="M366">
        <f t="shared" si="28"/>
        <v>0.31131717757075206</v>
      </c>
      <c r="N366">
        <v>0</v>
      </c>
      <c r="O366">
        <f t="shared" si="29"/>
        <v>1</v>
      </c>
    </row>
    <row r="367" spans="1:15" x14ac:dyDescent="0.6">
      <c r="A367">
        <v>20260427</v>
      </c>
      <c r="B367" t="s">
        <v>109</v>
      </c>
      <c r="C367" t="s">
        <v>17</v>
      </c>
      <c r="D367" t="s">
        <v>16</v>
      </c>
      <c r="E367">
        <v>10001</v>
      </c>
      <c r="F367">
        <v>6002</v>
      </c>
      <c r="G367">
        <v>25.87</v>
      </c>
      <c r="H367">
        <v>0.25872401378120952</v>
      </c>
      <c r="I367" t="s">
        <v>70</v>
      </c>
      <c r="J367">
        <f t="shared" si="25"/>
        <v>0.74127598621879054</v>
      </c>
      <c r="K367" t="str">
        <f t="shared" si="26"/>
        <v>70~100</v>
      </c>
      <c r="L367" t="str">
        <f t="shared" si="27"/>
        <v>AWAY</v>
      </c>
      <c r="M367">
        <f t="shared" si="28"/>
        <v>0.54949008774464059</v>
      </c>
      <c r="N367">
        <v>0</v>
      </c>
      <c r="O367">
        <f t="shared" si="29"/>
        <v>1</v>
      </c>
    </row>
    <row r="368" spans="1:15" x14ac:dyDescent="0.6">
      <c r="A368">
        <v>20260426</v>
      </c>
      <c r="B368" t="s">
        <v>109</v>
      </c>
      <c r="C368" t="s">
        <v>28</v>
      </c>
      <c r="D368" t="s">
        <v>20</v>
      </c>
      <c r="E368">
        <v>5002</v>
      </c>
      <c r="F368">
        <v>7002</v>
      </c>
      <c r="G368">
        <v>36.53</v>
      </c>
      <c r="H368">
        <v>0.3653462025604961</v>
      </c>
      <c r="I368" t="s">
        <v>70</v>
      </c>
      <c r="J368">
        <f t="shared" si="25"/>
        <v>0.6346537974395039</v>
      </c>
      <c r="K368" t="str">
        <f t="shared" si="26"/>
        <v>60~65</v>
      </c>
      <c r="L368" t="str">
        <f t="shared" si="27"/>
        <v>AWAY</v>
      </c>
      <c r="M368" t="str">
        <f t="shared" si="28"/>
        <v/>
      </c>
      <c r="N368" t="s">
        <v>31</v>
      </c>
      <c r="O368" t="str">
        <f t="shared" si="29"/>
        <v/>
      </c>
    </row>
    <row r="369" spans="1:15" x14ac:dyDescent="0.6">
      <c r="A369">
        <v>20260428</v>
      </c>
      <c r="B369" t="s">
        <v>109</v>
      </c>
      <c r="C369" t="s">
        <v>19</v>
      </c>
      <c r="D369" t="s">
        <v>22</v>
      </c>
      <c r="E369">
        <v>9002</v>
      </c>
      <c r="F369">
        <v>1001</v>
      </c>
      <c r="G369">
        <v>34.770000000000003</v>
      </c>
      <c r="H369">
        <v>0.34768864830071178</v>
      </c>
      <c r="I369" t="s">
        <v>70</v>
      </c>
      <c r="J369">
        <f t="shared" si="25"/>
        <v>0.65231135169928822</v>
      </c>
      <c r="K369" t="str">
        <f t="shared" si="26"/>
        <v>65~70</v>
      </c>
      <c r="L369" t="str">
        <f t="shared" si="27"/>
        <v>AWAY</v>
      </c>
      <c r="M369">
        <f t="shared" si="28"/>
        <v>0.42551009955575247</v>
      </c>
      <c r="N369">
        <v>0</v>
      </c>
      <c r="O369">
        <f t="shared" si="29"/>
        <v>1</v>
      </c>
    </row>
    <row r="370" spans="1:15" x14ac:dyDescent="0.6">
      <c r="A370">
        <v>20260429</v>
      </c>
      <c r="B370" t="s">
        <v>109</v>
      </c>
      <c r="C370" t="s">
        <v>24</v>
      </c>
      <c r="D370" t="s">
        <v>23</v>
      </c>
      <c r="E370">
        <v>12001</v>
      </c>
      <c r="F370">
        <v>3001</v>
      </c>
      <c r="G370">
        <v>41.62</v>
      </c>
      <c r="H370">
        <v>0.41615467273368523</v>
      </c>
      <c r="I370" t="s">
        <v>70</v>
      </c>
      <c r="J370">
        <f t="shared" si="25"/>
        <v>0.58384532726631477</v>
      </c>
      <c r="K370" t="str">
        <f t="shared" si="26"/>
        <v>55~60</v>
      </c>
      <c r="L370" t="str">
        <f t="shared" si="27"/>
        <v>AWAY</v>
      </c>
      <c r="M370">
        <f t="shared" si="28"/>
        <v>0.17318471163808066</v>
      </c>
      <c r="N370">
        <v>1</v>
      </c>
      <c r="O370">
        <f t="shared" si="29"/>
        <v>0</v>
      </c>
    </row>
    <row r="371" spans="1:15" x14ac:dyDescent="0.6">
      <c r="A371">
        <v>20260430</v>
      </c>
      <c r="B371" t="s">
        <v>109</v>
      </c>
      <c r="C371" t="s">
        <v>21</v>
      </c>
      <c r="D371" t="s">
        <v>27</v>
      </c>
      <c r="E371">
        <v>2002</v>
      </c>
      <c r="F371">
        <v>11001</v>
      </c>
      <c r="G371">
        <v>40.51</v>
      </c>
      <c r="H371">
        <v>0.40508197695597742</v>
      </c>
      <c r="I371" t="s">
        <v>70</v>
      </c>
      <c r="J371">
        <f t="shared" si="25"/>
        <v>0.59491802304402253</v>
      </c>
      <c r="K371" t="str">
        <f t="shared" si="26"/>
        <v>55~60</v>
      </c>
      <c r="L371" t="str">
        <f t="shared" si="27"/>
        <v>AWAY</v>
      </c>
      <c r="M371" t="str">
        <f t="shared" si="28"/>
        <v/>
      </c>
      <c r="N371" t="s">
        <v>31</v>
      </c>
      <c r="O371" t="str">
        <f t="shared" si="29"/>
        <v/>
      </c>
    </row>
    <row r="372" spans="1:15" x14ac:dyDescent="0.6">
      <c r="A372">
        <v>20260431</v>
      </c>
      <c r="B372" t="s">
        <v>110</v>
      </c>
      <c r="C372" t="s">
        <v>16</v>
      </c>
      <c r="D372" t="s">
        <v>19</v>
      </c>
      <c r="E372">
        <v>6002</v>
      </c>
      <c r="F372">
        <v>9002</v>
      </c>
      <c r="G372">
        <v>66.87</v>
      </c>
      <c r="H372">
        <v>0.66870264232671783</v>
      </c>
      <c r="I372" t="s">
        <v>70</v>
      </c>
      <c r="J372">
        <f t="shared" si="25"/>
        <v>0.66870264232671783</v>
      </c>
      <c r="K372" t="str">
        <f t="shared" si="26"/>
        <v>65~70</v>
      </c>
      <c r="L372" t="str">
        <f t="shared" si="27"/>
        <v>HOME</v>
      </c>
      <c r="M372">
        <f t="shared" si="28"/>
        <v>0.44716322385473434</v>
      </c>
      <c r="N372">
        <v>0</v>
      </c>
      <c r="O372">
        <f t="shared" si="29"/>
        <v>0</v>
      </c>
    </row>
    <row r="373" spans="1:15" x14ac:dyDescent="0.6">
      <c r="A373">
        <v>20260432</v>
      </c>
      <c r="B373" t="s">
        <v>110</v>
      </c>
      <c r="C373" t="s">
        <v>24</v>
      </c>
      <c r="D373" t="s">
        <v>17</v>
      </c>
      <c r="E373">
        <v>12001</v>
      </c>
      <c r="F373">
        <v>10001</v>
      </c>
      <c r="G373">
        <v>51.51</v>
      </c>
      <c r="H373">
        <v>0.51508970993143877</v>
      </c>
      <c r="I373" t="s">
        <v>70</v>
      </c>
      <c r="J373">
        <f t="shared" si="25"/>
        <v>0.51508970993143877</v>
      </c>
      <c r="K373" t="str">
        <f t="shared" si="26"/>
        <v>50~55</v>
      </c>
      <c r="L373" t="str">
        <f t="shared" si="27"/>
        <v>HOME</v>
      </c>
      <c r="M373">
        <f t="shared" si="28"/>
        <v>0.23513798941437619</v>
      </c>
      <c r="N373">
        <v>1</v>
      </c>
      <c r="O373">
        <f t="shared" si="29"/>
        <v>1</v>
      </c>
    </row>
    <row r="374" spans="1:15" x14ac:dyDescent="0.6">
      <c r="A374">
        <v>20260433</v>
      </c>
      <c r="B374" t="s">
        <v>110</v>
      </c>
      <c r="C374" t="s">
        <v>20</v>
      </c>
      <c r="D374" t="s">
        <v>27</v>
      </c>
      <c r="E374">
        <v>7002</v>
      </c>
      <c r="F374">
        <v>11001</v>
      </c>
      <c r="G374">
        <v>45.32</v>
      </c>
      <c r="H374">
        <v>0.453209564072941</v>
      </c>
      <c r="I374" t="s">
        <v>70</v>
      </c>
      <c r="J374">
        <f t="shared" si="25"/>
        <v>0.546790435927059</v>
      </c>
      <c r="K374" t="str">
        <f t="shared" si="26"/>
        <v>50~55</v>
      </c>
      <c r="L374" t="str">
        <f t="shared" si="27"/>
        <v>AWAY</v>
      </c>
      <c r="M374">
        <f t="shared" si="28"/>
        <v>0.29897978082130322</v>
      </c>
      <c r="N374">
        <v>0</v>
      </c>
      <c r="O374">
        <f t="shared" si="29"/>
        <v>1</v>
      </c>
    </row>
    <row r="375" spans="1:15" x14ac:dyDescent="0.6">
      <c r="A375">
        <v>20260434</v>
      </c>
      <c r="B375" t="s">
        <v>110</v>
      </c>
      <c r="C375" t="s">
        <v>22</v>
      </c>
      <c r="D375" t="s">
        <v>28</v>
      </c>
      <c r="E375">
        <v>1001</v>
      </c>
      <c r="F375">
        <v>5002</v>
      </c>
      <c r="G375">
        <v>54.22</v>
      </c>
      <c r="H375">
        <v>0.54219235920687103</v>
      </c>
      <c r="I375" t="s">
        <v>70</v>
      </c>
      <c r="J375">
        <f t="shared" si="25"/>
        <v>0.54219235920687103</v>
      </c>
      <c r="K375" t="str">
        <f t="shared" si="26"/>
        <v>50~55</v>
      </c>
      <c r="L375" t="str">
        <f t="shared" si="27"/>
        <v>HOME</v>
      </c>
      <c r="M375">
        <f t="shared" si="28"/>
        <v>0.20958783596857061</v>
      </c>
      <c r="N375">
        <v>1</v>
      </c>
      <c r="O375">
        <f t="shared" si="29"/>
        <v>1</v>
      </c>
    </row>
    <row r="376" spans="1:15" x14ac:dyDescent="0.6">
      <c r="A376">
        <v>20260435</v>
      </c>
      <c r="B376" t="s">
        <v>110</v>
      </c>
      <c r="C376" t="s">
        <v>23</v>
      </c>
      <c r="D376" t="s">
        <v>21</v>
      </c>
      <c r="E376">
        <v>3001</v>
      </c>
      <c r="F376">
        <v>2002</v>
      </c>
      <c r="G376">
        <v>69.62</v>
      </c>
      <c r="H376">
        <v>0.69624454728243468</v>
      </c>
      <c r="I376" t="s">
        <v>70</v>
      </c>
      <c r="J376">
        <f t="shared" si="25"/>
        <v>0.69624454728243468</v>
      </c>
      <c r="K376" t="str">
        <f t="shared" si="26"/>
        <v>65~70</v>
      </c>
      <c r="L376" t="str">
        <f t="shared" si="27"/>
        <v>HOME</v>
      </c>
      <c r="M376">
        <f t="shared" si="28"/>
        <v>9.2267375055653064E-2</v>
      </c>
      <c r="N376">
        <v>1</v>
      </c>
      <c r="O376">
        <f t="shared" si="29"/>
        <v>1</v>
      </c>
    </row>
    <row r="377" spans="1:15" x14ac:dyDescent="0.6">
      <c r="A377">
        <v>20260436</v>
      </c>
      <c r="B377" t="s">
        <v>111</v>
      </c>
      <c r="C377" t="s">
        <v>16</v>
      </c>
      <c r="D377" t="s">
        <v>19</v>
      </c>
      <c r="E377">
        <v>6002</v>
      </c>
      <c r="F377">
        <v>9002</v>
      </c>
      <c r="G377">
        <v>79.36</v>
      </c>
      <c r="H377">
        <v>0.79357904432454252</v>
      </c>
      <c r="I377" t="s">
        <v>70</v>
      </c>
      <c r="J377">
        <f t="shared" si="25"/>
        <v>0.79357904432454252</v>
      </c>
      <c r="K377" t="str">
        <f t="shared" si="26"/>
        <v>70~100</v>
      </c>
      <c r="L377" t="str">
        <f t="shared" si="27"/>
        <v>HOME</v>
      </c>
      <c r="M377">
        <f t="shared" si="28"/>
        <v>4.2609610941969182E-2</v>
      </c>
      <c r="N377">
        <v>1</v>
      </c>
      <c r="O377">
        <f t="shared" si="29"/>
        <v>1</v>
      </c>
    </row>
    <row r="378" spans="1:15" x14ac:dyDescent="0.6">
      <c r="A378">
        <v>20260437</v>
      </c>
      <c r="B378" t="s">
        <v>111</v>
      </c>
      <c r="C378" t="s">
        <v>24</v>
      </c>
      <c r="D378" t="s">
        <v>17</v>
      </c>
      <c r="E378">
        <v>12001</v>
      </c>
      <c r="F378">
        <v>10001</v>
      </c>
      <c r="G378">
        <v>61.47</v>
      </c>
      <c r="H378">
        <v>0.61474551215965112</v>
      </c>
      <c r="I378" t="s">
        <v>70</v>
      </c>
      <c r="J378">
        <f t="shared" si="25"/>
        <v>0.61474551215965112</v>
      </c>
      <c r="K378" t="str">
        <f t="shared" si="26"/>
        <v>60~65</v>
      </c>
      <c r="L378" t="str">
        <f t="shared" si="27"/>
        <v>HOME</v>
      </c>
      <c r="M378">
        <f t="shared" si="28"/>
        <v>0.14842102040112953</v>
      </c>
      <c r="N378">
        <v>1</v>
      </c>
      <c r="O378">
        <f t="shared" si="29"/>
        <v>1</v>
      </c>
    </row>
    <row r="379" spans="1:15" x14ac:dyDescent="0.6">
      <c r="A379">
        <v>20260438</v>
      </c>
      <c r="B379" t="s">
        <v>111</v>
      </c>
      <c r="C379" t="s">
        <v>20</v>
      </c>
      <c r="D379" t="s">
        <v>27</v>
      </c>
      <c r="E379">
        <v>7002</v>
      </c>
      <c r="F379">
        <v>11001</v>
      </c>
      <c r="G379">
        <v>55.07</v>
      </c>
      <c r="H379">
        <v>0.55070594346089774</v>
      </c>
      <c r="I379" t="s">
        <v>70</v>
      </c>
      <c r="J379">
        <f t="shared" si="25"/>
        <v>0.55070594346089774</v>
      </c>
      <c r="K379" t="str">
        <f t="shared" si="26"/>
        <v>55~60</v>
      </c>
      <c r="L379" t="str">
        <f t="shared" si="27"/>
        <v>HOME</v>
      </c>
      <c r="M379" t="str">
        <f t="shared" si="28"/>
        <v/>
      </c>
      <c r="N379" t="s">
        <v>31</v>
      </c>
      <c r="O379" t="str">
        <f t="shared" si="29"/>
        <v/>
      </c>
    </row>
    <row r="380" spans="1:15" x14ac:dyDescent="0.6">
      <c r="A380">
        <v>20260439</v>
      </c>
      <c r="B380" t="s">
        <v>111</v>
      </c>
      <c r="C380" t="s">
        <v>22</v>
      </c>
      <c r="D380" t="s">
        <v>28</v>
      </c>
      <c r="E380">
        <v>1001</v>
      </c>
      <c r="F380">
        <v>5002</v>
      </c>
      <c r="G380">
        <v>43.05</v>
      </c>
      <c r="H380">
        <v>0.43049326855872161</v>
      </c>
      <c r="I380" t="s">
        <v>70</v>
      </c>
      <c r="J380">
        <f t="shared" si="25"/>
        <v>0.56950673144127839</v>
      </c>
      <c r="K380" t="str">
        <f t="shared" si="26"/>
        <v>55~60</v>
      </c>
      <c r="L380" t="str">
        <f t="shared" si="27"/>
        <v>AWAY</v>
      </c>
      <c r="M380">
        <f t="shared" si="28"/>
        <v>0.32433791715692839</v>
      </c>
      <c r="N380">
        <v>0</v>
      </c>
      <c r="O380">
        <f t="shared" si="29"/>
        <v>1</v>
      </c>
    </row>
    <row r="381" spans="1:15" x14ac:dyDescent="0.6">
      <c r="A381">
        <v>20260440</v>
      </c>
      <c r="B381" t="s">
        <v>111</v>
      </c>
      <c r="C381" t="s">
        <v>23</v>
      </c>
      <c r="D381" t="s">
        <v>21</v>
      </c>
      <c r="E381">
        <v>3001</v>
      </c>
      <c r="F381">
        <v>2002</v>
      </c>
      <c r="G381">
        <v>42.42</v>
      </c>
      <c r="H381">
        <v>0.42422791269845539</v>
      </c>
      <c r="I381" t="s">
        <v>70</v>
      </c>
      <c r="J381">
        <f t="shared" si="25"/>
        <v>0.57577208730154461</v>
      </c>
      <c r="K381" t="str">
        <f t="shared" si="26"/>
        <v>55~60</v>
      </c>
      <c r="L381" t="str">
        <f t="shared" si="27"/>
        <v>AWAY</v>
      </c>
      <c r="M381">
        <f t="shared" si="28"/>
        <v>0.17996932191248829</v>
      </c>
      <c r="N381">
        <v>1</v>
      </c>
      <c r="O381">
        <f t="shared" si="29"/>
        <v>0</v>
      </c>
    </row>
    <row r="382" spans="1:15" x14ac:dyDescent="0.6">
      <c r="A382">
        <v>20260441</v>
      </c>
      <c r="B382" t="s">
        <v>112</v>
      </c>
      <c r="C382" t="s">
        <v>16</v>
      </c>
      <c r="D382" t="s">
        <v>19</v>
      </c>
      <c r="E382">
        <v>6002</v>
      </c>
      <c r="F382">
        <v>9002</v>
      </c>
      <c r="G382">
        <v>68.94</v>
      </c>
      <c r="H382">
        <v>0.68943394092188715</v>
      </c>
      <c r="I382" t="s">
        <v>70</v>
      </c>
      <c r="J382">
        <f t="shared" si="25"/>
        <v>0.68943394092188715</v>
      </c>
      <c r="K382" t="str">
        <f t="shared" si="26"/>
        <v>65~70</v>
      </c>
      <c r="L382" t="str">
        <f t="shared" si="27"/>
        <v>HOME</v>
      </c>
      <c r="M382">
        <f t="shared" si="28"/>
        <v>9.6451277051309889E-2</v>
      </c>
      <c r="N382">
        <v>1</v>
      </c>
      <c r="O382">
        <f t="shared" si="29"/>
        <v>1</v>
      </c>
    </row>
    <row r="383" spans="1:15" x14ac:dyDescent="0.6">
      <c r="A383">
        <v>20260442</v>
      </c>
      <c r="B383" t="s">
        <v>112</v>
      </c>
      <c r="C383" t="s">
        <v>24</v>
      </c>
      <c r="D383" t="s">
        <v>17</v>
      </c>
      <c r="E383">
        <v>12001</v>
      </c>
      <c r="F383">
        <v>10001</v>
      </c>
      <c r="G383">
        <v>58.3</v>
      </c>
      <c r="H383">
        <v>0.58299230072238739</v>
      </c>
      <c r="I383" t="s">
        <v>70</v>
      </c>
      <c r="J383">
        <f t="shared" si="25"/>
        <v>0.58299230072238739</v>
      </c>
      <c r="K383" t="str">
        <f t="shared" si="26"/>
        <v>55~60</v>
      </c>
      <c r="L383" t="str">
        <f t="shared" si="27"/>
        <v>HOME</v>
      </c>
      <c r="M383" t="str">
        <f t="shared" si="28"/>
        <v/>
      </c>
      <c r="N383" t="s">
        <v>31</v>
      </c>
      <c r="O383" t="str">
        <f t="shared" si="29"/>
        <v/>
      </c>
    </row>
    <row r="384" spans="1:15" x14ac:dyDescent="0.6">
      <c r="A384">
        <v>20260443</v>
      </c>
      <c r="B384" t="s">
        <v>112</v>
      </c>
      <c r="C384" t="s">
        <v>20</v>
      </c>
      <c r="D384" t="s">
        <v>27</v>
      </c>
      <c r="E384">
        <v>7002</v>
      </c>
      <c r="F384">
        <v>11001</v>
      </c>
      <c r="G384">
        <v>53.53</v>
      </c>
      <c r="H384">
        <v>0.53529594472274467</v>
      </c>
      <c r="I384" t="s">
        <v>70</v>
      </c>
      <c r="J384">
        <f t="shared" si="25"/>
        <v>0.53529594472274467</v>
      </c>
      <c r="K384" t="str">
        <f t="shared" si="26"/>
        <v>50~55</v>
      </c>
      <c r="L384" t="str">
        <f t="shared" si="27"/>
        <v>HOME</v>
      </c>
      <c r="M384">
        <f t="shared" si="28"/>
        <v>0.21594985899112637</v>
      </c>
      <c r="N384">
        <v>1</v>
      </c>
      <c r="O384">
        <f t="shared" si="29"/>
        <v>1</v>
      </c>
    </row>
    <row r="385" spans="1:15" x14ac:dyDescent="0.6">
      <c r="A385">
        <v>20260444</v>
      </c>
      <c r="B385" t="s">
        <v>112</v>
      </c>
      <c r="C385" t="s">
        <v>22</v>
      </c>
      <c r="D385" t="s">
        <v>28</v>
      </c>
      <c r="E385">
        <v>1001</v>
      </c>
      <c r="F385">
        <v>5002</v>
      </c>
      <c r="G385">
        <v>49.47</v>
      </c>
      <c r="H385">
        <v>0.49466053513501379</v>
      </c>
      <c r="I385" t="s">
        <v>70</v>
      </c>
      <c r="J385">
        <f t="shared" si="25"/>
        <v>0.50533946486498627</v>
      </c>
      <c r="K385" t="str">
        <f t="shared" si="26"/>
        <v>50~55</v>
      </c>
      <c r="L385" t="str">
        <f t="shared" si="27"/>
        <v>AWAY</v>
      </c>
      <c r="M385">
        <f t="shared" si="28"/>
        <v>0.24468904502005817</v>
      </c>
      <c r="N385">
        <v>1</v>
      </c>
      <c r="O385">
        <f t="shared" si="29"/>
        <v>0</v>
      </c>
    </row>
    <row r="386" spans="1:15" x14ac:dyDescent="0.6">
      <c r="A386">
        <v>20260445</v>
      </c>
      <c r="B386" t="s">
        <v>112</v>
      </c>
      <c r="C386" t="s">
        <v>23</v>
      </c>
      <c r="D386" t="s">
        <v>21</v>
      </c>
      <c r="E386">
        <v>3001</v>
      </c>
      <c r="F386">
        <v>2002</v>
      </c>
      <c r="G386">
        <v>62.36</v>
      </c>
      <c r="H386">
        <v>0.62361924611380914</v>
      </c>
      <c r="I386" t="s">
        <v>70</v>
      </c>
      <c r="J386">
        <f t="shared" ref="J386:J449" si="30">MAX(H386,1-H386)</f>
        <v>0.62361924611380914</v>
      </c>
      <c r="K386" t="str">
        <f t="shared" ref="K386:K449" si="31">_xlfn.IFS(
J386&lt;=0.55,"50~55",
J386&lt;=0.6,"55~60",
J386&lt;=0.65,"60~65",
J386&lt;=0.7,"65~70",
TRUE,"70~100"
)</f>
        <v>60~65</v>
      </c>
      <c r="L386" t="str">
        <f t="shared" ref="L386:L449" si="32">IF(H386&gt;=0.5,"HOME","AWAY")</f>
        <v>HOME</v>
      </c>
      <c r="M386">
        <f t="shared" ref="M386:M449" si="33">IF(AND(N386&lt;&gt;"", OR(N386=0, N386=1)), (J386-N386)^2, "")</f>
        <v>0.38890096412355568</v>
      </c>
      <c r="N386">
        <v>0</v>
      </c>
      <c r="O386">
        <f t="shared" ref="O386:O449" si="34">IF(AND(N386&lt;&gt;"", OR(N386=0, N386=1)), IF(ROUND(H386,0)=N386, 1, 0), "")</f>
        <v>0</v>
      </c>
    </row>
    <row r="387" spans="1:15" x14ac:dyDescent="0.6">
      <c r="A387">
        <v>20260446</v>
      </c>
      <c r="B387" t="s">
        <v>113</v>
      </c>
      <c r="C387" t="s">
        <v>28</v>
      </c>
      <c r="D387" t="s">
        <v>24</v>
      </c>
      <c r="E387">
        <v>5002</v>
      </c>
      <c r="F387">
        <v>12001</v>
      </c>
      <c r="G387">
        <v>53.72</v>
      </c>
      <c r="H387">
        <v>0.53723742783474837</v>
      </c>
      <c r="I387" t="s">
        <v>70</v>
      </c>
      <c r="J387">
        <f t="shared" si="30"/>
        <v>0.53723742783474837</v>
      </c>
      <c r="K387" t="str">
        <f t="shared" si="31"/>
        <v>50~55</v>
      </c>
      <c r="L387" t="str">
        <f t="shared" si="32"/>
        <v>HOME</v>
      </c>
      <c r="M387">
        <f t="shared" si="33"/>
        <v>0.28862405386649648</v>
      </c>
      <c r="N387">
        <v>0</v>
      </c>
      <c r="O387">
        <f t="shared" si="34"/>
        <v>0</v>
      </c>
    </row>
    <row r="388" spans="1:15" x14ac:dyDescent="0.6">
      <c r="A388">
        <v>20260447</v>
      </c>
      <c r="B388" t="s">
        <v>113</v>
      </c>
      <c r="C388" t="s">
        <v>19</v>
      </c>
      <c r="D388" t="s">
        <v>21</v>
      </c>
      <c r="E388">
        <v>9002</v>
      </c>
      <c r="F388">
        <v>2002</v>
      </c>
      <c r="G388">
        <v>31.09</v>
      </c>
      <c r="H388">
        <v>0.31086715654532687</v>
      </c>
      <c r="I388" t="s">
        <v>70</v>
      </c>
      <c r="J388">
        <f t="shared" si="30"/>
        <v>0.68913284345467307</v>
      </c>
      <c r="K388" t="str">
        <f t="shared" si="31"/>
        <v>65~70</v>
      </c>
      <c r="L388" t="str">
        <f t="shared" si="32"/>
        <v>AWAY</v>
      </c>
      <c r="M388">
        <f t="shared" si="33"/>
        <v>9.6638389018576798E-2</v>
      </c>
      <c r="N388">
        <v>1</v>
      </c>
      <c r="O388">
        <f t="shared" si="34"/>
        <v>0</v>
      </c>
    </row>
    <row r="389" spans="1:15" x14ac:dyDescent="0.6">
      <c r="A389">
        <v>20260448</v>
      </c>
      <c r="B389" t="s">
        <v>113</v>
      </c>
      <c r="C389" t="s">
        <v>20</v>
      </c>
      <c r="D389" t="s">
        <v>17</v>
      </c>
      <c r="E389">
        <v>7002</v>
      </c>
      <c r="F389">
        <v>10001</v>
      </c>
      <c r="G389">
        <v>64.22</v>
      </c>
      <c r="H389">
        <v>0.6422227154593626</v>
      </c>
      <c r="I389" t="s">
        <v>70</v>
      </c>
      <c r="J389">
        <f t="shared" si="30"/>
        <v>0.6422227154593626</v>
      </c>
      <c r="K389" t="str">
        <f t="shared" si="31"/>
        <v>60~65</v>
      </c>
      <c r="L389" t="str">
        <f t="shared" si="32"/>
        <v>HOME</v>
      </c>
      <c r="M389">
        <f t="shared" si="33"/>
        <v>0.4124500162519974</v>
      </c>
      <c r="N389">
        <v>0</v>
      </c>
      <c r="O389">
        <f t="shared" si="34"/>
        <v>0</v>
      </c>
    </row>
    <row r="390" spans="1:15" x14ac:dyDescent="0.6">
      <c r="A390">
        <v>20260449</v>
      </c>
      <c r="B390" t="s">
        <v>113</v>
      </c>
      <c r="C390" t="s">
        <v>22</v>
      </c>
      <c r="D390" t="s">
        <v>23</v>
      </c>
      <c r="E390">
        <v>1001</v>
      </c>
      <c r="F390">
        <v>3001</v>
      </c>
      <c r="G390">
        <v>40.6</v>
      </c>
      <c r="H390">
        <v>0.40604851586098151</v>
      </c>
      <c r="I390" t="s">
        <v>70</v>
      </c>
      <c r="J390">
        <f t="shared" si="30"/>
        <v>0.59395148413901855</v>
      </c>
      <c r="K390" t="str">
        <f t="shared" si="31"/>
        <v>55~60</v>
      </c>
      <c r="L390" t="str">
        <f t="shared" si="32"/>
        <v>AWAY</v>
      </c>
      <c r="M390">
        <f t="shared" si="33"/>
        <v>0.1648753972329057</v>
      </c>
      <c r="N390">
        <v>1</v>
      </c>
      <c r="O390">
        <f t="shared" si="34"/>
        <v>0</v>
      </c>
    </row>
    <row r="391" spans="1:15" x14ac:dyDescent="0.6">
      <c r="A391">
        <v>20260450</v>
      </c>
      <c r="B391" t="s">
        <v>113</v>
      </c>
      <c r="C391" t="s">
        <v>27</v>
      </c>
      <c r="D391" t="s">
        <v>16</v>
      </c>
      <c r="E391">
        <v>11001</v>
      </c>
      <c r="F391">
        <v>6002</v>
      </c>
      <c r="G391">
        <v>52.77</v>
      </c>
      <c r="H391">
        <v>0.52765541583621034</v>
      </c>
      <c r="I391" t="s">
        <v>70</v>
      </c>
      <c r="J391">
        <f t="shared" si="30"/>
        <v>0.52765541583621034</v>
      </c>
      <c r="K391" t="str">
        <f t="shared" si="31"/>
        <v>50~55</v>
      </c>
      <c r="L391" t="str">
        <f t="shared" si="32"/>
        <v>HOME</v>
      </c>
      <c r="M391">
        <f t="shared" si="33"/>
        <v>0.22310940618886338</v>
      </c>
      <c r="N391">
        <v>1</v>
      </c>
      <c r="O391">
        <f t="shared" si="34"/>
        <v>1</v>
      </c>
    </row>
    <row r="392" spans="1:15" x14ac:dyDescent="0.6">
      <c r="A392">
        <v>20260451</v>
      </c>
      <c r="B392" t="s">
        <v>114</v>
      </c>
      <c r="C392" t="s">
        <v>28</v>
      </c>
      <c r="D392" t="s">
        <v>24</v>
      </c>
      <c r="E392">
        <v>5002</v>
      </c>
      <c r="F392">
        <v>12001</v>
      </c>
      <c r="G392">
        <v>39.44</v>
      </c>
      <c r="H392">
        <v>0.39435385469451251</v>
      </c>
      <c r="I392" t="s">
        <v>70</v>
      </c>
      <c r="J392">
        <f t="shared" si="30"/>
        <v>0.60564614530548755</v>
      </c>
      <c r="K392" t="str">
        <f t="shared" si="31"/>
        <v>60~65</v>
      </c>
      <c r="L392" t="str">
        <f t="shared" si="32"/>
        <v>AWAY</v>
      </c>
      <c r="M392">
        <f t="shared" si="33"/>
        <v>0.36680725332339575</v>
      </c>
      <c r="N392">
        <v>0</v>
      </c>
      <c r="O392">
        <f t="shared" si="34"/>
        <v>1</v>
      </c>
    </row>
    <row r="393" spans="1:15" x14ac:dyDescent="0.6">
      <c r="A393">
        <v>20260452</v>
      </c>
      <c r="B393" t="s">
        <v>114</v>
      </c>
      <c r="C393" t="s">
        <v>19</v>
      </c>
      <c r="D393" t="s">
        <v>21</v>
      </c>
      <c r="E393">
        <v>9002</v>
      </c>
      <c r="F393">
        <v>2002</v>
      </c>
      <c r="G393">
        <v>57.72</v>
      </c>
      <c r="H393">
        <v>0.57721346437636945</v>
      </c>
      <c r="I393" t="s">
        <v>70</v>
      </c>
      <c r="J393">
        <f t="shared" si="30"/>
        <v>0.57721346437636945</v>
      </c>
      <c r="K393" t="str">
        <f t="shared" si="31"/>
        <v>55~60</v>
      </c>
      <c r="L393" t="str">
        <f t="shared" si="32"/>
        <v>HOME</v>
      </c>
      <c r="M393">
        <f t="shared" si="33"/>
        <v>0.3331753834573703</v>
      </c>
      <c r="N393">
        <v>0</v>
      </c>
      <c r="O393">
        <f t="shared" si="34"/>
        <v>0</v>
      </c>
    </row>
    <row r="394" spans="1:15" x14ac:dyDescent="0.6">
      <c r="A394">
        <v>20260453</v>
      </c>
      <c r="B394" t="s">
        <v>114</v>
      </c>
      <c r="C394" t="s">
        <v>20</v>
      </c>
      <c r="D394" t="s">
        <v>17</v>
      </c>
      <c r="E394">
        <v>7002</v>
      </c>
      <c r="F394">
        <v>10001</v>
      </c>
      <c r="G394">
        <v>54.92</v>
      </c>
      <c r="H394">
        <v>0.54919687362151193</v>
      </c>
      <c r="I394" t="s">
        <v>70</v>
      </c>
      <c r="J394">
        <f t="shared" si="30"/>
        <v>0.54919687362151193</v>
      </c>
      <c r="K394" t="str">
        <f t="shared" si="31"/>
        <v>50~55</v>
      </c>
      <c r="L394" t="str">
        <f t="shared" si="32"/>
        <v>HOME</v>
      </c>
      <c r="M394">
        <f t="shared" si="33"/>
        <v>0.30161720599564296</v>
      </c>
      <c r="N394">
        <v>0</v>
      </c>
      <c r="O394">
        <f t="shared" si="34"/>
        <v>0</v>
      </c>
    </row>
    <row r="395" spans="1:15" x14ac:dyDescent="0.6">
      <c r="A395">
        <v>20260454</v>
      </c>
      <c r="B395" t="s">
        <v>114</v>
      </c>
      <c r="C395" t="s">
        <v>22</v>
      </c>
      <c r="D395" t="s">
        <v>23</v>
      </c>
      <c r="E395">
        <v>1001</v>
      </c>
      <c r="F395">
        <v>3001</v>
      </c>
      <c r="G395">
        <v>52.13</v>
      </c>
      <c r="H395">
        <v>0.52133836947226453</v>
      </c>
      <c r="I395" t="s">
        <v>70</v>
      </c>
      <c r="J395">
        <f t="shared" si="30"/>
        <v>0.52133836947226453</v>
      </c>
      <c r="K395" t="str">
        <f t="shared" si="31"/>
        <v>50~55</v>
      </c>
      <c r="L395" t="str">
        <f t="shared" si="32"/>
        <v>HOME</v>
      </c>
      <c r="M395" t="str">
        <f t="shared" si="33"/>
        <v/>
      </c>
      <c r="N395" t="s">
        <v>31</v>
      </c>
      <c r="O395" t="str">
        <f t="shared" si="34"/>
        <v/>
      </c>
    </row>
    <row r="396" spans="1:15" x14ac:dyDescent="0.6">
      <c r="A396">
        <v>20260455</v>
      </c>
      <c r="B396" t="s">
        <v>114</v>
      </c>
      <c r="C396" t="s">
        <v>27</v>
      </c>
      <c r="D396" t="s">
        <v>16</v>
      </c>
      <c r="E396">
        <v>11001</v>
      </c>
      <c r="F396">
        <v>6002</v>
      </c>
      <c r="G396">
        <v>35.99</v>
      </c>
      <c r="H396">
        <v>0.35992827753049911</v>
      </c>
      <c r="I396" t="s">
        <v>70</v>
      </c>
      <c r="J396">
        <f t="shared" si="30"/>
        <v>0.64007172246950095</v>
      </c>
      <c r="K396" t="str">
        <f t="shared" si="31"/>
        <v>60~65</v>
      </c>
      <c r="L396" t="str">
        <f t="shared" si="32"/>
        <v>AWAY</v>
      </c>
      <c r="M396">
        <f t="shared" si="33"/>
        <v>0.40969180990507387</v>
      </c>
      <c r="N396">
        <v>0</v>
      </c>
      <c r="O396">
        <f t="shared" si="34"/>
        <v>1</v>
      </c>
    </row>
    <row r="397" spans="1:15" x14ac:dyDescent="0.6">
      <c r="A397">
        <v>20260456</v>
      </c>
      <c r="B397" t="s">
        <v>115</v>
      </c>
      <c r="C397" t="s">
        <v>28</v>
      </c>
      <c r="D397" t="s">
        <v>24</v>
      </c>
      <c r="E397">
        <v>5002</v>
      </c>
      <c r="F397">
        <v>12001</v>
      </c>
      <c r="G397">
        <v>47.58</v>
      </c>
      <c r="H397">
        <v>0.4757542993428413</v>
      </c>
      <c r="I397" t="s">
        <v>70</v>
      </c>
      <c r="J397">
        <f t="shared" si="30"/>
        <v>0.5242457006571587</v>
      </c>
      <c r="K397" t="str">
        <f t="shared" si="31"/>
        <v>50~55</v>
      </c>
      <c r="L397" t="str">
        <f t="shared" si="32"/>
        <v>AWAY</v>
      </c>
      <c r="M397">
        <f t="shared" si="33"/>
        <v>0.27483355465751524</v>
      </c>
      <c r="N397">
        <v>0</v>
      </c>
      <c r="O397">
        <f t="shared" si="34"/>
        <v>1</v>
      </c>
    </row>
    <row r="398" spans="1:15" x14ac:dyDescent="0.6">
      <c r="A398">
        <v>20260457</v>
      </c>
      <c r="B398" t="s">
        <v>115</v>
      </c>
      <c r="C398" t="s">
        <v>19</v>
      </c>
      <c r="D398" t="s">
        <v>21</v>
      </c>
      <c r="E398">
        <v>9002</v>
      </c>
      <c r="F398">
        <v>2002</v>
      </c>
      <c r="G398">
        <v>36.119999999999997</v>
      </c>
      <c r="H398">
        <v>0.3611664680814391</v>
      </c>
      <c r="I398" t="s">
        <v>70</v>
      </c>
      <c r="J398">
        <f t="shared" si="30"/>
        <v>0.63883353191856096</v>
      </c>
      <c r="K398" t="str">
        <f t="shared" si="31"/>
        <v>60~65</v>
      </c>
      <c r="L398" t="str">
        <f t="shared" si="32"/>
        <v>AWAY</v>
      </c>
      <c r="M398">
        <f t="shared" si="33"/>
        <v>0.40810828150354306</v>
      </c>
      <c r="N398">
        <v>0</v>
      </c>
      <c r="O398">
        <f t="shared" si="34"/>
        <v>1</v>
      </c>
    </row>
    <row r="399" spans="1:15" x14ac:dyDescent="0.6">
      <c r="A399">
        <v>20260458</v>
      </c>
      <c r="B399" t="s">
        <v>115</v>
      </c>
      <c r="C399" t="s">
        <v>20</v>
      </c>
      <c r="D399" t="s">
        <v>17</v>
      </c>
      <c r="E399">
        <v>7002</v>
      </c>
      <c r="F399">
        <v>10001</v>
      </c>
      <c r="G399">
        <v>36.28</v>
      </c>
      <c r="H399">
        <v>0.36280326619800329</v>
      </c>
      <c r="I399" t="s">
        <v>70</v>
      </c>
      <c r="J399">
        <f t="shared" si="30"/>
        <v>0.63719673380199671</v>
      </c>
      <c r="K399" t="str">
        <f t="shared" si="31"/>
        <v>60~65</v>
      </c>
      <c r="L399" t="str">
        <f t="shared" si="32"/>
        <v>AWAY</v>
      </c>
      <c r="M399">
        <f t="shared" si="33"/>
        <v>0.40601967756793267</v>
      </c>
      <c r="N399">
        <v>0</v>
      </c>
      <c r="O399">
        <f t="shared" si="34"/>
        <v>1</v>
      </c>
    </row>
    <row r="400" spans="1:15" x14ac:dyDescent="0.6">
      <c r="A400">
        <v>20260459</v>
      </c>
      <c r="B400" t="s">
        <v>115</v>
      </c>
      <c r="C400" t="s">
        <v>22</v>
      </c>
      <c r="D400" t="s">
        <v>23</v>
      </c>
      <c r="E400">
        <v>1001</v>
      </c>
      <c r="F400">
        <v>3001</v>
      </c>
      <c r="G400">
        <v>37.200000000000003</v>
      </c>
      <c r="H400">
        <v>0.37200148185766302</v>
      </c>
      <c r="I400" t="s">
        <v>70</v>
      </c>
      <c r="J400">
        <f t="shared" si="30"/>
        <v>0.62799851814233698</v>
      </c>
      <c r="K400" t="str">
        <f t="shared" si="31"/>
        <v>60~65</v>
      </c>
      <c r="L400" t="str">
        <f t="shared" si="32"/>
        <v>AWAY</v>
      </c>
      <c r="M400">
        <f t="shared" si="33"/>
        <v>0.1383851025042972</v>
      </c>
      <c r="N400">
        <v>1</v>
      </c>
      <c r="O400">
        <f t="shared" si="34"/>
        <v>0</v>
      </c>
    </row>
    <row r="401" spans="1:15" x14ac:dyDescent="0.6">
      <c r="A401">
        <v>20260460</v>
      </c>
      <c r="B401" t="s">
        <v>115</v>
      </c>
      <c r="C401" t="s">
        <v>27</v>
      </c>
      <c r="D401" t="s">
        <v>16</v>
      </c>
      <c r="E401">
        <v>11001</v>
      </c>
      <c r="F401">
        <v>6002</v>
      </c>
      <c r="G401">
        <v>48.93</v>
      </c>
      <c r="H401">
        <v>0.48934777987559858</v>
      </c>
      <c r="I401" t="s">
        <v>70</v>
      </c>
      <c r="J401">
        <f t="shared" si="30"/>
        <v>0.51065222012440148</v>
      </c>
      <c r="K401" t="str">
        <f t="shared" si="31"/>
        <v>50~55</v>
      </c>
      <c r="L401" t="str">
        <f t="shared" si="32"/>
        <v>AWAY</v>
      </c>
      <c r="M401">
        <f t="shared" si="33"/>
        <v>0.26076568991798016</v>
      </c>
      <c r="N401">
        <v>0</v>
      </c>
      <c r="O401">
        <f t="shared" si="34"/>
        <v>1</v>
      </c>
    </row>
    <row r="402" spans="1:15" x14ac:dyDescent="0.6">
      <c r="A402">
        <v>20260461</v>
      </c>
      <c r="B402" t="s">
        <v>116</v>
      </c>
      <c r="C402" t="s">
        <v>28</v>
      </c>
      <c r="D402" t="s">
        <v>24</v>
      </c>
      <c r="E402">
        <v>5002</v>
      </c>
      <c r="F402">
        <v>12001</v>
      </c>
      <c r="G402">
        <v>35.25</v>
      </c>
      <c r="H402">
        <v>0.35254041532539471</v>
      </c>
      <c r="I402" t="s">
        <v>70</v>
      </c>
      <c r="J402">
        <f t="shared" si="30"/>
        <v>0.64745958467460529</v>
      </c>
      <c r="K402" t="str">
        <f t="shared" si="31"/>
        <v>60~65</v>
      </c>
      <c r="L402" t="str">
        <f t="shared" si="32"/>
        <v>AWAY</v>
      </c>
      <c r="M402">
        <f t="shared" si="33"/>
        <v>0.41920391378701238</v>
      </c>
      <c r="N402">
        <v>0</v>
      </c>
      <c r="O402">
        <f t="shared" si="34"/>
        <v>1</v>
      </c>
    </row>
    <row r="403" spans="1:15" x14ac:dyDescent="0.6">
      <c r="A403">
        <v>20260462</v>
      </c>
      <c r="B403" t="s">
        <v>116</v>
      </c>
      <c r="C403" t="s">
        <v>19</v>
      </c>
      <c r="D403" t="s">
        <v>21</v>
      </c>
      <c r="E403">
        <v>9002</v>
      </c>
      <c r="F403">
        <v>2002</v>
      </c>
      <c r="G403">
        <v>42.2</v>
      </c>
      <c r="H403">
        <v>0.422019334890119</v>
      </c>
      <c r="I403" t="s">
        <v>70</v>
      </c>
      <c r="J403">
        <f t="shared" si="30"/>
        <v>0.577980665109881</v>
      </c>
      <c r="K403" t="str">
        <f t="shared" si="31"/>
        <v>55~60</v>
      </c>
      <c r="L403" t="str">
        <f t="shared" si="32"/>
        <v>AWAY</v>
      </c>
      <c r="M403">
        <f t="shared" si="33"/>
        <v>0.3340616492408604</v>
      </c>
      <c r="N403">
        <v>0</v>
      </c>
      <c r="O403">
        <f t="shared" si="34"/>
        <v>1</v>
      </c>
    </row>
    <row r="404" spans="1:15" x14ac:dyDescent="0.6">
      <c r="A404">
        <v>20260463</v>
      </c>
      <c r="B404" t="s">
        <v>116</v>
      </c>
      <c r="C404" t="s">
        <v>20</v>
      </c>
      <c r="D404" t="s">
        <v>17</v>
      </c>
      <c r="E404">
        <v>7002</v>
      </c>
      <c r="F404">
        <v>10001</v>
      </c>
      <c r="G404">
        <v>59.34</v>
      </c>
      <c r="H404">
        <v>0.59336917211451468</v>
      </c>
      <c r="I404" t="s">
        <v>70</v>
      </c>
      <c r="J404">
        <f t="shared" si="30"/>
        <v>0.59336917211451468</v>
      </c>
      <c r="K404" t="str">
        <f t="shared" si="31"/>
        <v>55~60</v>
      </c>
      <c r="L404" t="str">
        <f t="shared" si="32"/>
        <v>HOME</v>
      </c>
      <c r="M404" t="str">
        <f t="shared" si="33"/>
        <v/>
      </c>
      <c r="N404" t="s">
        <v>50</v>
      </c>
      <c r="O404" t="str">
        <f t="shared" si="34"/>
        <v/>
      </c>
    </row>
    <row r="405" spans="1:15" x14ac:dyDescent="0.6">
      <c r="A405">
        <v>20260464</v>
      </c>
      <c r="B405" t="s">
        <v>116</v>
      </c>
      <c r="C405" t="s">
        <v>22</v>
      </c>
      <c r="D405" t="s">
        <v>23</v>
      </c>
      <c r="E405">
        <v>1001</v>
      </c>
      <c r="F405">
        <v>3001</v>
      </c>
      <c r="G405">
        <v>52.33</v>
      </c>
      <c r="H405">
        <v>0.52330013433030487</v>
      </c>
      <c r="I405" t="s">
        <v>70</v>
      </c>
      <c r="J405">
        <f t="shared" si="30"/>
        <v>0.52330013433030487</v>
      </c>
      <c r="K405" t="str">
        <f t="shared" si="31"/>
        <v>50~55</v>
      </c>
      <c r="L405" t="str">
        <f t="shared" si="32"/>
        <v>HOME</v>
      </c>
      <c r="M405">
        <f t="shared" si="33"/>
        <v>0.27384303059011511</v>
      </c>
      <c r="N405">
        <v>0</v>
      </c>
      <c r="O405">
        <f t="shared" si="34"/>
        <v>0</v>
      </c>
    </row>
    <row r="406" spans="1:15" x14ac:dyDescent="0.6">
      <c r="A406">
        <v>20260465</v>
      </c>
      <c r="B406" t="s">
        <v>116</v>
      </c>
      <c r="C406" t="s">
        <v>27</v>
      </c>
      <c r="D406" t="s">
        <v>16</v>
      </c>
      <c r="E406">
        <v>11001</v>
      </c>
      <c r="F406">
        <v>6002</v>
      </c>
      <c r="G406">
        <v>51.63</v>
      </c>
      <c r="H406">
        <v>0.51626124952095542</v>
      </c>
      <c r="I406" t="s">
        <v>70</v>
      </c>
      <c r="J406">
        <f t="shared" si="30"/>
        <v>0.51626124952095542</v>
      </c>
      <c r="K406" t="str">
        <f t="shared" si="31"/>
        <v>50~55</v>
      </c>
      <c r="L406" t="str">
        <f t="shared" si="32"/>
        <v>HOME</v>
      </c>
      <c r="M406">
        <f t="shared" si="33"/>
        <v>0.2665256777569382</v>
      </c>
      <c r="N406">
        <v>0</v>
      </c>
      <c r="O406">
        <f t="shared" si="34"/>
        <v>0</v>
      </c>
    </row>
    <row r="407" spans="1:15" x14ac:dyDescent="0.6">
      <c r="A407">
        <v>20260466</v>
      </c>
      <c r="B407" t="s">
        <v>117</v>
      </c>
      <c r="C407" t="s">
        <v>28</v>
      </c>
      <c r="D407" t="s">
        <v>27</v>
      </c>
      <c r="E407">
        <v>5002</v>
      </c>
      <c r="F407">
        <v>11001</v>
      </c>
      <c r="G407">
        <v>59.87</v>
      </c>
      <c r="H407">
        <v>0.59865959440305261</v>
      </c>
      <c r="I407" t="s">
        <v>70</v>
      </c>
      <c r="J407">
        <f t="shared" si="30"/>
        <v>0.59865959440305261</v>
      </c>
      <c r="K407" t="str">
        <f t="shared" si="31"/>
        <v>55~60</v>
      </c>
      <c r="L407" t="str">
        <f t="shared" si="32"/>
        <v>HOME</v>
      </c>
      <c r="M407">
        <f t="shared" si="33"/>
        <v>0.35839330997082747</v>
      </c>
      <c r="N407">
        <v>0</v>
      </c>
      <c r="O407">
        <f t="shared" si="34"/>
        <v>0</v>
      </c>
    </row>
    <row r="408" spans="1:15" x14ac:dyDescent="0.6">
      <c r="A408">
        <v>20260467</v>
      </c>
      <c r="B408" t="s">
        <v>117</v>
      </c>
      <c r="C408" t="s">
        <v>17</v>
      </c>
      <c r="D408" t="s">
        <v>22</v>
      </c>
      <c r="E408">
        <v>10001</v>
      </c>
      <c r="F408">
        <v>1001</v>
      </c>
      <c r="G408">
        <v>43.54</v>
      </c>
      <c r="H408">
        <v>0.43543783656575058</v>
      </c>
      <c r="I408" t="s">
        <v>70</v>
      </c>
      <c r="J408">
        <f t="shared" si="30"/>
        <v>0.56456216343424948</v>
      </c>
      <c r="K408" t="str">
        <f t="shared" si="31"/>
        <v>55~60</v>
      </c>
      <c r="L408" t="str">
        <f t="shared" si="32"/>
        <v>AWAY</v>
      </c>
      <c r="M408">
        <f t="shared" si="33"/>
        <v>0.31873043638156023</v>
      </c>
      <c r="N408">
        <v>0</v>
      </c>
      <c r="O408">
        <f t="shared" si="34"/>
        <v>1</v>
      </c>
    </row>
    <row r="409" spans="1:15" x14ac:dyDescent="0.6">
      <c r="A409">
        <v>20260468</v>
      </c>
      <c r="B409" t="s">
        <v>117</v>
      </c>
      <c r="C409" t="s">
        <v>24</v>
      </c>
      <c r="D409" t="s">
        <v>16</v>
      </c>
      <c r="E409">
        <v>12001</v>
      </c>
      <c r="F409">
        <v>6002</v>
      </c>
      <c r="G409">
        <v>41.61</v>
      </c>
      <c r="H409">
        <v>0.4161459001617368</v>
      </c>
      <c r="I409" t="s">
        <v>70</v>
      </c>
      <c r="J409">
        <f t="shared" si="30"/>
        <v>0.5838540998382632</v>
      </c>
      <c r="K409" t="str">
        <f t="shared" si="31"/>
        <v>55~60</v>
      </c>
      <c r="L409" t="str">
        <f t="shared" si="32"/>
        <v>AWAY</v>
      </c>
      <c r="M409" t="str">
        <f t="shared" si="33"/>
        <v/>
      </c>
      <c r="N409" t="s">
        <v>50</v>
      </c>
      <c r="O409" t="str">
        <f t="shared" si="34"/>
        <v/>
      </c>
    </row>
    <row r="410" spans="1:15" x14ac:dyDescent="0.6">
      <c r="A410">
        <v>20260469</v>
      </c>
      <c r="B410" t="s">
        <v>117</v>
      </c>
      <c r="C410" t="s">
        <v>21</v>
      </c>
      <c r="D410" t="s">
        <v>20</v>
      </c>
      <c r="E410">
        <v>2002</v>
      </c>
      <c r="F410">
        <v>7002</v>
      </c>
      <c r="G410">
        <v>59</v>
      </c>
      <c r="H410">
        <v>0.59004409057619367</v>
      </c>
      <c r="I410" t="s">
        <v>70</v>
      </c>
      <c r="J410">
        <f t="shared" si="30"/>
        <v>0.59004409057619367</v>
      </c>
      <c r="K410" t="str">
        <f t="shared" si="31"/>
        <v>55~60</v>
      </c>
      <c r="L410" t="str">
        <f t="shared" si="32"/>
        <v>HOME</v>
      </c>
      <c r="M410">
        <f t="shared" si="33"/>
        <v>0.16806384767150009</v>
      </c>
      <c r="N410">
        <v>1</v>
      </c>
      <c r="O410">
        <f t="shared" si="34"/>
        <v>1</v>
      </c>
    </row>
    <row r="411" spans="1:15" x14ac:dyDescent="0.6">
      <c r="A411">
        <v>20260470</v>
      </c>
      <c r="B411" t="s">
        <v>117</v>
      </c>
      <c r="C411" t="s">
        <v>23</v>
      </c>
      <c r="D411" t="s">
        <v>19</v>
      </c>
      <c r="E411">
        <v>3001</v>
      </c>
      <c r="F411">
        <v>9002</v>
      </c>
      <c r="G411">
        <v>71.84</v>
      </c>
      <c r="H411">
        <v>0.71838555749269761</v>
      </c>
      <c r="I411" t="s">
        <v>70</v>
      </c>
      <c r="J411">
        <f t="shared" si="30"/>
        <v>0.71838555749269761</v>
      </c>
      <c r="K411" t="str">
        <f t="shared" si="31"/>
        <v>70~100</v>
      </c>
      <c r="L411" t="str">
        <f t="shared" si="32"/>
        <v>HOME</v>
      </c>
      <c r="M411">
        <f t="shared" si="33"/>
        <v>7.9306694228698724E-2</v>
      </c>
      <c r="N411">
        <v>1</v>
      </c>
      <c r="O411">
        <f t="shared" si="34"/>
        <v>1</v>
      </c>
    </row>
    <row r="412" spans="1:15" x14ac:dyDescent="0.6">
      <c r="A412">
        <v>20260471</v>
      </c>
      <c r="B412" t="s">
        <v>118</v>
      </c>
      <c r="C412" t="s">
        <v>28</v>
      </c>
      <c r="D412" t="s">
        <v>27</v>
      </c>
      <c r="E412">
        <v>5002</v>
      </c>
      <c r="F412">
        <v>11001</v>
      </c>
      <c r="G412">
        <v>39.119999999999997</v>
      </c>
      <c r="H412">
        <v>0.3912203327133324</v>
      </c>
      <c r="I412" t="s">
        <v>70</v>
      </c>
      <c r="J412">
        <f t="shared" si="30"/>
        <v>0.60877966728666766</v>
      </c>
      <c r="K412" t="str">
        <f t="shared" si="31"/>
        <v>60~65</v>
      </c>
      <c r="L412" t="str">
        <f t="shared" si="32"/>
        <v>AWAY</v>
      </c>
      <c r="M412" t="str">
        <f t="shared" si="33"/>
        <v/>
      </c>
      <c r="N412" t="s">
        <v>31</v>
      </c>
      <c r="O412" t="str">
        <f t="shared" si="34"/>
        <v/>
      </c>
    </row>
    <row r="413" spans="1:15" x14ac:dyDescent="0.6">
      <c r="A413">
        <v>20260472</v>
      </c>
      <c r="B413" t="s">
        <v>118</v>
      </c>
      <c r="C413" t="s">
        <v>17</v>
      </c>
      <c r="D413" t="s">
        <v>22</v>
      </c>
      <c r="E413">
        <v>10001</v>
      </c>
      <c r="F413">
        <v>1001</v>
      </c>
      <c r="G413">
        <v>41.6</v>
      </c>
      <c r="H413">
        <v>0.41600834204766418</v>
      </c>
      <c r="I413" t="s">
        <v>70</v>
      </c>
      <c r="J413">
        <f t="shared" si="30"/>
        <v>0.58399165795233587</v>
      </c>
      <c r="K413" t="str">
        <f t="shared" si="31"/>
        <v>55~60</v>
      </c>
      <c r="L413" t="str">
        <f t="shared" si="32"/>
        <v>AWAY</v>
      </c>
      <c r="M413">
        <f t="shared" si="33"/>
        <v>0.17306294065324632</v>
      </c>
      <c r="N413">
        <v>1</v>
      </c>
      <c r="O413">
        <f t="shared" si="34"/>
        <v>0</v>
      </c>
    </row>
    <row r="414" spans="1:15" x14ac:dyDescent="0.6">
      <c r="A414">
        <v>20260473</v>
      </c>
      <c r="B414" t="s">
        <v>118</v>
      </c>
      <c r="C414" t="s">
        <v>24</v>
      </c>
      <c r="D414" t="s">
        <v>16</v>
      </c>
      <c r="E414">
        <v>12001</v>
      </c>
      <c r="F414">
        <v>6002</v>
      </c>
      <c r="G414">
        <v>35.659999999999997</v>
      </c>
      <c r="H414">
        <v>0.35663055759252171</v>
      </c>
      <c r="I414" t="s">
        <v>70</v>
      </c>
      <c r="J414">
        <f t="shared" si="30"/>
        <v>0.64336944240747829</v>
      </c>
      <c r="K414" t="str">
        <f t="shared" si="31"/>
        <v>60~65</v>
      </c>
      <c r="L414" t="str">
        <f t="shared" si="32"/>
        <v>AWAY</v>
      </c>
      <c r="M414" t="str">
        <f t="shared" si="33"/>
        <v/>
      </c>
      <c r="N414" t="s">
        <v>31</v>
      </c>
      <c r="O414" t="str">
        <f t="shared" si="34"/>
        <v/>
      </c>
    </row>
    <row r="415" spans="1:15" x14ac:dyDescent="0.6">
      <c r="A415">
        <v>20260474</v>
      </c>
      <c r="B415" t="s">
        <v>118</v>
      </c>
      <c r="C415" t="s">
        <v>21</v>
      </c>
      <c r="D415" t="s">
        <v>20</v>
      </c>
      <c r="E415">
        <v>2002</v>
      </c>
      <c r="F415">
        <v>7002</v>
      </c>
      <c r="G415">
        <v>61.14</v>
      </c>
      <c r="H415">
        <v>0.6114291907340329</v>
      </c>
      <c r="I415" t="s">
        <v>70</v>
      </c>
      <c r="J415">
        <f t="shared" si="30"/>
        <v>0.6114291907340329</v>
      </c>
      <c r="K415" t="str">
        <f t="shared" si="31"/>
        <v>60~65</v>
      </c>
      <c r="L415" t="str">
        <f t="shared" si="32"/>
        <v>HOME</v>
      </c>
      <c r="M415">
        <f t="shared" si="33"/>
        <v>0.3738456552816744</v>
      </c>
      <c r="N415">
        <v>0</v>
      </c>
      <c r="O415">
        <f t="shared" si="34"/>
        <v>0</v>
      </c>
    </row>
    <row r="416" spans="1:15" x14ac:dyDescent="0.6">
      <c r="A416">
        <v>20260475</v>
      </c>
      <c r="B416" t="s">
        <v>118</v>
      </c>
      <c r="C416" t="s">
        <v>23</v>
      </c>
      <c r="D416" t="s">
        <v>19</v>
      </c>
      <c r="E416">
        <v>3001</v>
      </c>
      <c r="F416">
        <v>9002</v>
      </c>
      <c r="G416">
        <v>32.03</v>
      </c>
      <c r="H416">
        <v>0.32033463042676957</v>
      </c>
      <c r="I416" t="s">
        <v>70</v>
      </c>
      <c r="J416">
        <f t="shared" si="30"/>
        <v>0.67966536957323043</v>
      </c>
      <c r="K416" t="str">
        <f t="shared" si="31"/>
        <v>65~70</v>
      </c>
      <c r="L416" t="str">
        <f t="shared" si="32"/>
        <v>AWAY</v>
      </c>
      <c r="M416">
        <f t="shared" si="33"/>
        <v>0.4619450145971159</v>
      </c>
      <c r="N416">
        <v>0</v>
      </c>
      <c r="O416">
        <f t="shared" si="34"/>
        <v>1</v>
      </c>
    </row>
    <row r="417" spans="1:15" x14ac:dyDescent="0.6">
      <c r="A417">
        <v>20260476</v>
      </c>
      <c r="B417" t="s">
        <v>119</v>
      </c>
      <c r="C417" t="s">
        <v>28</v>
      </c>
      <c r="D417" t="s">
        <v>27</v>
      </c>
      <c r="E417">
        <v>5002</v>
      </c>
      <c r="F417">
        <v>11001</v>
      </c>
      <c r="G417">
        <v>64.66</v>
      </c>
      <c r="H417">
        <v>0.64657383064642049</v>
      </c>
      <c r="I417" t="s">
        <v>70</v>
      </c>
      <c r="J417">
        <f t="shared" si="30"/>
        <v>0.64657383064642049</v>
      </c>
      <c r="K417" t="str">
        <f t="shared" si="31"/>
        <v>60~65</v>
      </c>
      <c r="L417" t="str">
        <f t="shared" si="32"/>
        <v>HOME</v>
      </c>
      <c r="M417">
        <f t="shared" si="33"/>
        <v>0.41805771847678602</v>
      </c>
      <c r="N417">
        <v>0</v>
      </c>
      <c r="O417">
        <f t="shared" si="34"/>
        <v>0</v>
      </c>
    </row>
    <row r="418" spans="1:15" x14ac:dyDescent="0.6">
      <c r="A418">
        <v>20260477</v>
      </c>
      <c r="B418" t="s">
        <v>119</v>
      </c>
      <c r="C418" t="s">
        <v>17</v>
      </c>
      <c r="D418" t="s">
        <v>22</v>
      </c>
      <c r="E418">
        <v>10001</v>
      </c>
      <c r="F418">
        <v>1001</v>
      </c>
      <c r="G418">
        <v>44.18</v>
      </c>
      <c r="H418">
        <v>0.44182622945310202</v>
      </c>
      <c r="I418" t="s">
        <v>70</v>
      </c>
      <c r="J418">
        <f t="shared" si="30"/>
        <v>0.55817377054689798</v>
      </c>
      <c r="K418" t="str">
        <f t="shared" si="31"/>
        <v>55~60</v>
      </c>
      <c r="L418" t="str">
        <f t="shared" si="32"/>
        <v>AWAY</v>
      </c>
      <c r="M418">
        <f t="shared" si="33"/>
        <v>0.31155795812654113</v>
      </c>
      <c r="N418">
        <v>0</v>
      </c>
      <c r="O418">
        <f t="shared" si="34"/>
        <v>1</v>
      </c>
    </row>
    <row r="419" spans="1:15" x14ac:dyDescent="0.6">
      <c r="A419">
        <v>20260478</v>
      </c>
      <c r="B419" t="s">
        <v>119</v>
      </c>
      <c r="C419" t="s">
        <v>24</v>
      </c>
      <c r="D419" t="s">
        <v>16</v>
      </c>
      <c r="E419">
        <v>12001</v>
      </c>
      <c r="F419">
        <v>6002</v>
      </c>
      <c r="G419">
        <v>36.32</v>
      </c>
      <c r="H419">
        <v>0.36324823301309073</v>
      </c>
      <c r="I419" t="s">
        <v>70</v>
      </c>
      <c r="J419">
        <f t="shared" si="30"/>
        <v>0.63675176698690927</v>
      </c>
      <c r="K419" t="str">
        <f t="shared" si="31"/>
        <v>60~65</v>
      </c>
      <c r="L419" t="str">
        <f t="shared" si="32"/>
        <v>AWAY</v>
      </c>
      <c r="M419" t="str">
        <f t="shared" si="33"/>
        <v/>
      </c>
      <c r="N419" t="s">
        <v>31</v>
      </c>
      <c r="O419" t="str">
        <f t="shared" si="34"/>
        <v/>
      </c>
    </row>
    <row r="420" spans="1:15" x14ac:dyDescent="0.6">
      <c r="A420">
        <v>20260479</v>
      </c>
      <c r="B420" t="s">
        <v>119</v>
      </c>
      <c r="C420" t="s">
        <v>21</v>
      </c>
      <c r="D420" t="s">
        <v>20</v>
      </c>
      <c r="E420">
        <v>2002</v>
      </c>
      <c r="F420">
        <v>7002</v>
      </c>
      <c r="G420">
        <v>51.27</v>
      </c>
      <c r="H420">
        <v>0.51271505568531639</v>
      </c>
      <c r="I420" t="s">
        <v>70</v>
      </c>
      <c r="J420">
        <f t="shared" si="30"/>
        <v>0.51271505568531639</v>
      </c>
      <c r="K420" t="str">
        <f t="shared" si="31"/>
        <v>50~55</v>
      </c>
      <c r="L420" t="str">
        <f t="shared" si="32"/>
        <v>HOME</v>
      </c>
      <c r="M420">
        <f t="shared" si="33"/>
        <v>0.26287672832639708</v>
      </c>
      <c r="N420">
        <v>0</v>
      </c>
      <c r="O420">
        <f t="shared" si="34"/>
        <v>0</v>
      </c>
    </row>
    <row r="421" spans="1:15" x14ac:dyDescent="0.6">
      <c r="A421">
        <v>20260480</v>
      </c>
      <c r="B421" t="s">
        <v>119</v>
      </c>
      <c r="C421" t="s">
        <v>23</v>
      </c>
      <c r="D421" t="s">
        <v>19</v>
      </c>
      <c r="E421">
        <v>3001</v>
      </c>
      <c r="F421">
        <v>9002</v>
      </c>
      <c r="G421">
        <v>66.25</v>
      </c>
      <c r="H421">
        <v>0.66250680169722065</v>
      </c>
      <c r="I421" t="s">
        <v>70</v>
      </c>
      <c r="J421">
        <f t="shared" si="30"/>
        <v>0.66250680169722065</v>
      </c>
      <c r="K421" t="str">
        <f t="shared" si="31"/>
        <v>65~70</v>
      </c>
      <c r="L421" t="str">
        <f t="shared" si="32"/>
        <v>HOME</v>
      </c>
      <c r="M421">
        <f t="shared" si="33"/>
        <v>0.43891526229508043</v>
      </c>
      <c r="N421">
        <v>0</v>
      </c>
      <c r="O421">
        <f t="shared" si="34"/>
        <v>0</v>
      </c>
    </row>
    <row r="422" spans="1:15" x14ac:dyDescent="0.6">
      <c r="A422">
        <v>20260481</v>
      </c>
      <c r="B422" t="s">
        <v>120</v>
      </c>
      <c r="C422" t="s">
        <v>16</v>
      </c>
      <c r="D422" t="s">
        <v>22</v>
      </c>
      <c r="E422">
        <v>6002</v>
      </c>
      <c r="F422">
        <v>1001</v>
      </c>
      <c r="G422">
        <v>35.4</v>
      </c>
      <c r="H422">
        <v>0.3540229299219233</v>
      </c>
      <c r="I422" t="s">
        <v>70</v>
      </c>
      <c r="J422">
        <f t="shared" si="30"/>
        <v>0.6459770700780767</v>
      </c>
      <c r="K422" t="str">
        <f t="shared" si="31"/>
        <v>60~65</v>
      </c>
      <c r="L422" t="str">
        <f t="shared" si="32"/>
        <v>AWAY</v>
      </c>
      <c r="M422">
        <f t="shared" si="33"/>
        <v>0.41728637506665639</v>
      </c>
      <c r="N422">
        <v>0</v>
      </c>
      <c r="O422">
        <f t="shared" si="34"/>
        <v>1</v>
      </c>
    </row>
    <row r="423" spans="1:15" x14ac:dyDescent="0.6">
      <c r="A423">
        <v>20260482</v>
      </c>
      <c r="B423" t="s">
        <v>120</v>
      </c>
      <c r="C423" t="s">
        <v>19</v>
      </c>
      <c r="D423" t="s">
        <v>27</v>
      </c>
      <c r="E423">
        <v>9002</v>
      </c>
      <c r="F423">
        <v>11001</v>
      </c>
      <c r="G423">
        <v>18.96</v>
      </c>
      <c r="H423">
        <v>0.18959911597208159</v>
      </c>
      <c r="I423" t="s">
        <v>70</v>
      </c>
      <c r="J423">
        <f t="shared" si="30"/>
        <v>0.81040088402791843</v>
      </c>
      <c r="K423" t="str">
        <f t="shared" si="31"/>
        <v>70~100</v>
      </c>
      <c r="L423" t="str">
        <f t="shared" si="32"/>
        <v>AWAY</v>
      </c>
      <c r="M423">
        <f t="shared" si="33"/>
        <v>3.5947824777394832E-2</v>
      </c>
      <c r="N423">
        <v>1</v>
      </c>
      <c r="O423">
        <f t="shared" si="34"/>
        <v>0</v>
      </c>
    </row>
    <row r="424" spans="1:15" x14ac:dyDescent="0.6">
      <c r="A424">
        <v>20260483</v>
      </c>
      <c r="B424" t="s">
        <v>120</v>
      </c>
      <c r="C424" t="s">
        <v>20</v>
      </c>
      <c r="D424" t="s">
        <v>28</v>
      </c>
      <c r="E424">
        <v>7002</v>
      </c>
      <c r="F424">
        <v>5002</v>
      </c>
      <c r="G424">
        <v>44.58</v>
      </c>
      <c r="H424">
        <v>0.44583722804519088</v>
      </c>
      <c r="I424" t="s">
        <v>70</v>
      </c>
      <c r="J424">
        <f t="shared" si="30"/>
        <v>0.55416277195480912</v>
      </c>
      <c r="K424" t="str">
        <f t="shared" si="31"/>
        <v>55~60</v>
      </c>
      <c r="L424" t="str">
        <f t="shared" si="32"/>
        <v>AWAY</v>
      </c>
      <c r="M424">
        <f t="shared" si="33"/>
        <v>0.19877083391101955</v>
      </c>
      <c r="N424">
        <v>1</v>
      </c>
      <c r="O424">
        <f t="shared" si="34"/>
        <v>0</v>
      </c>
    </row>
    <row r="425" spans="1:15" x14ac:dyDescent="0.6">
      <c r="A425">
        <v>20260484</v>
      </c>
      <c r="B425" t="s">
        <v>120</v>
      </c>
      <c r="C425" t="s">
        <v>21</v>
      </c>
      <c r="D425" t="s">
        <v>17</v>
      </c>
      <c r="E425">
        <v>2002</v>
      </c>
      <c r="F425">
        <v>10001</v>
      </c>
      <c r="G425">
        <v>45.16</v>
      </c>
      <c r="H425">
        <v>0.45156196415696109</v>
      </c>
      <c r="I425" t="s">
        <v>70</v>
      </c>
      <c r="J425">
        <f t="shared" si="30"/>
        <v>0.54843803584303896</v>
      </c>
      <c r="K425" t="str">
        <f t="shared" si="31"/>
        <v>50~55</v>
      </c>
      <c r="L425" t="str">
        <f t="shared" si="32"/>
        <v>AWAY</v>
      </c>
      <c r="M425">
        <f t="shared" si="33"/>
        <v>0.3007842791593705</v>
      </c>
      <c r="N425">
        <v>0</v>
      </c>
      <c r="O425">
        <f t="shared" si="34"/>
        <v>1</v>
      </c>
    </row>
    <row r="426" spans="1:15" x14ac:dyDescent="0.6">
      <c r="A426">
        <v>20260485</v>
      </c>
      <c r="B426" t="s">
        <v>120</v>
      </c>
      <c r="C426" t="s">
        <v>23</v>
      </c>
      <c r="D426" t="s">
        <v>24</v>
      </c>
      <c r="E426">
        <v>3001</v>
      </c>
      <c r="F426">
        <v>12001</v>
      </c>
      <c r="G426">
        <v>38.43</v>
      </c>
      <c r="H426">
        <v>0.38426016826666898</v>
      </c>
      <c r="I426" t="s">
        <v>70</v>
      </c>
      <c r="J426">
        <f t="shared" si="30"/>
        <v>0.61573983173333102</v>
      </c>
      <c r="K426" t="str">
        <f t="shared" si="31"/>
        <v>60~65</v>
      </c>
      <c r="L426" t="str">
        <f t="shared" si="32"/>
        <v>AWAY</v>
      </c>
      <c r="M426">
        <f t="shared" si="33"/>
        <v>0.3791355403829908</v>
      </c>
      <c r="N426">
        <v>0</v>
      </c>
      <c r="O426">
        <f t="shared" si="34"/>
        <v>1</v>
      </c>
    </row>
    <row r="427" spans="1:15" x14ac:dyDescent="0.6">
      <c r="A427">
        <v>20260486</v>
      </c>
      <c r="B427" t="s">
        <v>121</v>
      </c>
      <c r="C427" t="s">
        <v>16</v>
      </c>
      <c r="D427" t="s">
        <v>22</v>
      </c>
      <c r="E427">
        <v>6002</v>
      </c>
      <c r="F427">
        <v>1001</v>
      </c>
      <c r="G427">
        <v>52.51</v>
      </c>
      <c r="H427">
        <v>0.52509145930024703</v>
      </c>
      <c r="I427" t="s">
        <v>70</v>
      </c>
      <c r="J427">
        <f t="shared" si="30"/>
        <v>0.52509145930024703</v>
      </c>
      <c r="K427" t="str">
        <f t="shared" si="31"/>
        <v>50~55</v>
      </c>
      <c r="L427" t="str">
        <f t="shared" si="32"/>
        <v>HOME</v>
      </c>
      <c r="M427">
        <f t="shared" si="33"/>
        <v>0.27572104063006297</v>
      </c>
      <c r="N427">
        <v>0</v>
      </c>
      <c r="O427">
        <f t="shared" si="34"/>
        <v>0</v>
      </c>
    </row>
    <row r="428" spans="1:15" x14ac:dyDescent="0.6">
      <c r="A428">
        <v>20260487</v>
      </c>
      <c r="B428" t="s">
        <v>121</v>
      </c>
      <c r="C428" t="s">
        <v>19</v>
      </c>
      <c r="D428" t="s">
        <v>27</v>
      </c>
      <c r="E428">
        <v>9002</v>
      </c>
      <c r="F428">
        <v>11001</v>
      </c>
      <c r="G428">
        <v>40.200000000000003</v>
      </c>
      <c r="H428">
        <v>0.40199176274443438</v>
      </c>
      <c r="I428" t="s">
        <v>70</v>
      </c>
      <c r="J428">
        <f t="shared" si="30"/>
        <v>0.59800823725556562</v>
      </c>
      <c r="K428" t="str">
        <f t="shared" si="31"/>
        <v>55~60</v>
      </c>
      <c r="L428" t="str">
        <f t="shared" si="32"/>
        <v>AWAY</v>
      </c>
      <c r="M428">
        <f t="shared" si="33"/>
        <v>0.16159737731437762</v>
      </c>
      <c r="N428">
        <v>1</v>
      </c>
      <c r="O428">
        <f t="shared" si="34"/>
        <v>0</v>
      </c>
    </row>
    <row r="429" spans="1:15" x14ac:dyDescent="0.6">
      <c r="A429">
        <v>20260488</v>
      </c>
      <c r="B429" t="s">
        <v>121</v>
      </c>
      <c r="C429" t="s">
        <v>20</v>
      </c>
      <c r="D429" t="s">
        <v>28</v>
      </c>
      <c r="E429">
        <v>7002</v>
      </c>
      <c r="F429">
        <v>5002</v>
      </c>
      <c r="G429">
        <v>64.22</v>
      </c>
      <c r="H429">
        <v>0.64219367683523365</v>
      </c>
      <c r="I429" t="s">
        <v>70</v>
      </c>
      <c r="J429">
        <f t="shared" si="30"/>
        <v>0.64219367683523365</v>
      </c>
      <c r="K429" t="str">
        <f t="shared" si="31"/>
        <v>60~65</v>
      </c>
      <c r="L429" t="str">
        <f t="shared" si="32"/>
        <v>HOME</v>
      </c>
      <c r="M429">
        <f t="shared" si="33"/>
        <v>0.4124127185671565</v>
      </c>
      <c r="N429">
        <v>0</v>
      </c>
      <c r="O429">
        <f t="shared" si="34"/>
        <v>0</v>
      </c>
    </row>
    <row r="430" spans="1:15" x14ac:dyDescent="0.6">
      <c r="A430">
        <v>20260489</v>
      </c>
      <c r="B430" t="s">
        <v>121</v>
      </c>
      <c r="C430" t="s">
        <v>21</v>
      </c>
      <c r="D430" t="s">
        <v>17</v>
      </c>
      <c r="E430">
        <v>2002</v>
      </c>
      <c r="F430">
        <v>10001</v>
      </c>
      <c r="G430">
        <v>49.41</v>
      </c>
      <c r="H430">
        <v>0.49405266074035398</v>
      </c>
      <c r="I430" t="s">
        <v>70</v>
      </c>
      <c r="J430">
        <f t="shared" si="30"/>
        <v>0.50594733925964608</v>
      </c>
      <c r="K430" t="str">
        <f t="shared" si="31"/>
        <v>50~55</v>
      </c>
      <c r="L430" t="str">
        <f t="shared" si="32"/>
        <v>AWAY</v>
      </c>
      <c r="M430">
        <f t="shared" si="33"/>
        <v>0.24408803158462325</v>
      </c>
      <c r="N430">
        <v>1</v>
      </c>
      <c r="O430">
        <f t="shared" si="34"/>
        <v>0</v>
      </c>
    </row>
    <row r="431" spans="1:15" x14ac:dyDescent="0.6">
      <c r="A431">
        <v>20260490</v>
      </c>
      <c r="B431" t="s">
        <v>121</v>
      </c>
      <c r="C431" t="s">
        <v>23</v>
      </c>
      <c r="D431" t="s">
        <v>24</v>
      </c>
      <c r="E431">
        <v>3001</v>
      </c>
      <c r="F431">
        <v>12001</v>
      </c>
      <c r="G431">
        <v>28.31</v>
      </c>
      <c r="H431">
        <v>0.28313948557800972</v>
      </c>
      <c r="I431" t="s">
        <v>70</v>
      </c>
      <c r="J431">
        <f t="shared" si="30"/>
        <v>0.71686051442199028</v>
      </c>
      <c r="K431" t="str">
        <f t="shared" si="31"/>
        <v>70~100</v>
      </c>
      <c r="L431" t="str">
        <f t="shared" si="32"/>
        <v>AWAY</v>
      </c>
      <c r="M431">
        <f t="shared" si="33"/>
        <v>0.51388899713736058</v>
      </c>
      <c r="N431">
        <v>0</v>
      </c>
      <c r="O431">
        <f t="shared" si="34"/>
        <v>1</v>
      </c>
    </row>
    <row r="432" spans="1:15" x14ac:dyDescent="0.6">
      <c r="A432">
        <v>20260491</v>
      </c>
      <c r="B432" t="s">
        <v>122</v>
      </c>
      <c r="C432" t="s">
        <v>16</v>
      </c>
      <c r="D432" t="s">
        <v>22</v>
      </c>
      <c r="E432">
        <v>6002</v>
      </c>
      <c r="F432">
        <v>1001</v>
      </c>
      <c r="G432">
        <v>62.52</v>
      </c>
      <c r="H432">
        <v>0.62518318527431427</v>
      </c>
      <c r="I432" t="s">
        <v>70</v>
      </c>
      <c r="J432">
        <f t="shared" si="30"/>
        <v>0.62518318527431427</v>
      </c>
      <c r="K432" t="str">
        <f t="shared" si="31"/>
        <v>60~65</v>
      </c>
      <c r="L432" t="str">
        <f t="shared" si="32"/>
        <v>HOME</v>
      </c>
      <c r="M432">
        <f t="shared" si="33"/>
        <v>0.14048764460110902</v>
      </c>
      <c r="N432">
        <v>1</v>
      </c>
      <c r="O432">
        <f t="shared" si="34"/>
        <v>1</v>
      </c>
    </row>
    <row r="433" spans="1:15" x14ac:dyDescent="0.6">
      <c r="A433">
        <v>20260492</v>
      </c>
      <c r="B433" t="s">
        <v>122</v>
      </c>
      <c r="C433" t="s">
        <v>19</v>
      </c>
      <c r="D433" t="s">
        <v>27</v>
      </c>
      <c r="E433">
        <v>9002</v>
      </c>
      <c r="F433">
        <v>11001</v>
      </c>
      <c r="G433">
        <v>34.33</v>
      </c>
      <c r="H433">
        <v>0.34329627038975241</v>
      </c>
      <c r="I433" t="s">
        <v>70</v>
      </c>
      <c r="J433">
        <f t="shared" si="30"/>
        <v>0.65670372961024759</v>
      </c>
      <c r="K433" t="str">
        <f t="shared" si="31"/>
        <v>65~70</v>
      </c>
      <c r="L433" t="str">
        <f t="shared" si="32"/>
        <v>AWAY</v>
      </c>
      <c r="M433" t="str">
        <f t="shared" si="33"/>
        <v/>
      </c>
      <c r="N433" t="s">
        <v>50</v>
      </c>
      <c r="O433" t="str">
        <f t="shared" si="34"/>
        <v/>
      </c>
    </row>
    <row r="434" spans="1:15" x14ac:dyDescent="0.6">
      <c r="A434">
        <v>20260493</v>
      </c>
      <c r="B434" t="s">
        <v>122</v>
      </c>
      <c r="C434" t="s">
        <v>20</v>
      </c>
      <c r="D434" t="s">
        <v>28</v>
      </c>
      <c r="E434">
        <v>7002</v>
      </c>
      <c r="F434">
        <v>5002</v>
      </c>
      <c r="G434">
        <v>45.88</v>
      </c>
      <c r="H434">
        <v>0.45876896837215142</v>
      </c>
      <c r="I434" t="s">
        <v>70</v>
      </c>
      <c r="J434">
        <f t="shared" si="30"/>
        <v>0.54123103162784858</v>
      </c>
      <c r="K434" t="str">
        <f t="shared" si="31"/>
        <v>50~55</v>
      </c>
      <c r="L434" t="str">
        <f t="shared" si="32"/>
        <v>AWAY</v>
      </c>
      <c r="M434">
        <f t="shared" si="33"/>
        <v>0.21046896634124806</v>
      </c>
      <c r="N434">
        <v>1</v>
      </c>
      <c r="O434">
        <f t="shared" si="34"/>
        <v>0</v>
      </c>
    </row>
    <row r="435" spans="1:15" x14ac:dyDescent="0.6">
      <c r="A435">
        <v>20260494</v>
      </c>
      <c r="B435" t="s">
        <v>122</v>
      </c>
      <c r="C435" t="s">
        <v>21</v>
      </c>
      <c r="D435" t="s">
        <v>17</v>
      </c>
      <c r="E435">
        <v>2002</v>
      </c>
      <c r="F435">
        <v>10001</v>
      </c>
      <c r="G435">
        <v>60.33</v>
      </c>
      <c r="H435">
        <v>0.60327107839586902</v>
      </c>
      <c r="I435" t="s">
        <v>70</v>
      </c>
      <c r="J435">
        <f t="shared" si="30"/>
        <v>0.60327107839586902</v>
      </c>
      <c r="K435" t="str">
        <f t="shared" si="31"/>
        <v>60~65</v>
      </c>
      <c r="L435" t="str">
        <f t="shared" si="32"/>
        <v>HOME</v>
      </c>
      <c r="M435">
        <f t="shared" si="33"/>
        <v>0.36393599402891474</v>
      </c>
      <c r="N435">
        <v>0</v>
      </c>
      <c r="O435">
        <f t="shared" si="34"/>
        <v>0</v>
      </c>
    </row>
    <row r="436" spans="1:15" x14ac:dyDescent="0.6">
      <c r="A436">
        <v>20260495</v>
      </c>
      <c r="B436" t="s">
        <v>122</v>
      </c>
      <c r="C436" t="s">
        <v>23</v>
      </c>
      <c r="D436" t="s">
        <v>24</v>
      </c>
      <c r="E436">
        <v>3001</v>
      </c>
      <c r="F436">
        <v>12001</v>
      </c>
      <c r="G436">
        <v>52.77</v>
      </c>
      <c r="H436">
        <v>0.52769633785718306</v>
      </c>
      <c r="I436" t="s">
        <v>70</v>
      </c>
      <c r="J436">
        <f t="shared" si="30"/>
        <v>0.52769633785718306</v>
      </c>
      <c r="K436" t="str">
        <f t="shared" si="31"/>
        <v>50~55</v>
      </c>
      <c r="L436" t="str">
        <f t="shared" si="32"/>
        <v>HOME</v>
      </c>
      <c r="M436">
        <f t="shared" si="33"/>
        <v>0.22307074927351617</v>
      </c>
      <c r="N436">
        <v>1</v>
      </c>
      <c r="O436">
        <f t="shared" si="34"/>
        <v>1</v>
      </c>
    </row>
    <row r="437" spans="1:15" x14ac:dyDescent="0.6">
      <c r="A437">
        <v>20260496</v>
      </c>
      <c r="B437" t="s">
        <v>123</v>
      </c>
      <c r="C437" t="s">
        <v>28</v>
      </c>
      <c r="D437" t="s">
        <v>17</v>
      </c>
      <c r="E437">
        <v>5002</v>
      </c>
      <c r="F437">
        <v>10001</v>
      </c>
      <c r="G437">
        <v>77.41</v>
      </c>
      <c r="H437">
        <v>0.77414182245759244</v>
      </c>
      <c r="I437" t="s">
        <v>70</v>
      </c>
      <c r="J437">
        <f t="shared" si="30"/>
        <v>0.77414182245759244</v>
      </c>
      <c r="K437" t="str">
        <f t="shared" si="31"/>
        <v>70~100</v>
      </c>
      <c r="L437" t="str">
        <f t="shared" si="32"/>
        <v>HOME</v>
      </c>
      <c r="M437">
        <f t="shared" si="33"/>
        <v>5.1011916362777694E-2</v>
      </c>
      <c r="N437">
        <v>1</v>
      </c>
      <c r="O437">
        <f t="shared" si="34"/>
        <v>1</v>
      </c>
    </row>
    <row r="438" spans="1:15" x14ac:dyDescent="0.6">
      <c r="A438">
        <v>20260497</v>
      </c>
      <c r="B438" t="s">
        <v>123</v>
      </c>
      <c r="C438" t="s">
        <v>19</v>
      </c>
      <c r="D438" t="s">
        <v>16</v>
      </c>
      <c r="E438">
        <v>9002</v>
      </c>
      <c r="F438">
        <v>6002</v>
      </c>
      <c r="G438">
        <v>57.91</v>
      </c>
      <c r="H438">
        <v>0.57909724610866753</v>
      </c>
      <c r="I438" t="s">
        <v>70</v>
      </c>
      <c r="J438">
        <f t="shared" si="30"/>
        <v>0.57909724610866753</v>
      </c>
      <c r="K438" t="str">
        <f t="shared" si="31"/>
        <v>55~60</v>
      </c>
      <c r="L438" t="str">
        <f t="shared" si="32"/>
        <v>HOME</v>
      </c>
      <c r="M438">
        <f t="shared" si="33"/>
        <v>0.33535362045064265</v>
      </c>
      <c r="N438">
        <v>0</v>
      </c>
      <c r="O438">
        <f t="shared" si="34"/>
        <v>0</v>
      </c>
    </row>
    <row r="439" spans="1:15" x14ac:dyDescent="0.6">
      <c r="A439">
        <v>20260498</v>
      </c>
      <c r="B439" t="s">
        <v>123</v>
      </c>
      <c r="C439" t="s">
        <v>20</v>
      </c>
      <c r="D439" t="s">
        <v>23</v>
      </c>
      <c r="E439">
        <v>7002</v>
      </c>
      <c r="F439">
        <v>3001</v>
      </c>
      <c r="G439">
        <v>54.1</v>
      </c>
      <c r="H439">
        <v>0.54104332312036174</v>
      </c>
      <c r="I439" t="s">
        <v>70</v>
      </c>
      <c r="J439">
        <f t="shared" si="30"/>
        <v>0.54104332312036174</v>
      </c>
      <c r="K439" t="str">
        <f t="shared" si="31"/>
        <v>50~55</v>
      </c>
      <c r="L439" t="str">
        <f t="shared" si="32"/>
        <v>HOME</v>
      </c>
      <c r="M439">
        <f t="shared" si="33"/>
        <v>0.29272787749312418</v>
      </c>
      <c r="N439">
        <v>0</v>
      </c>
      <c r="O439">
        <f t="shared" si="34"/>
        <v>0</v>
      </c>
    </row>
    <row r="440" spans="1:15" x14ac:dyDescent="0.6">
      <c r="A440">
        <v>20260499</v>
      </c>
      <c r="B440" t="s">
        <v>123</v>
      </c>
      <c r="C440" t="s">
        <v>22</v>
      </c>
      <c r="D440" t="s">
        <v>21</v>
      </c>
      <c r="E440">
        <v>1001</v>
      </c>
      <c r="F440">
        <v>2002</v>
      </c>
      <c r="G440">
        <v>42.53</v>
      </c>
      <c r="H440">
        <v>0.42529867602263832</v>
      </c>
      <c r="I440" t="s">
        <v>70</v>
      </c>
      <c r="J440">
        <f t="shared" si="30"/>
        <v>0.57470132397736173</v>
      </c>
      <c r="K440" t="str">
        <f t="shared" si="31"/>
        <v>55~60</v>
      </c>
      <c r="L440" t="str">
        <f t="shared" si="32"/>
        <v>AWAY</v>
      </c>
      <c r="M440">
        <f t="shared" si="33"/>
        <v>0.18087896382660903</v>
      </c>
      <c r="N440">
        <v>1</v>
      </c>
      <c r="O440">
        <f t="shared" si="34"/>
        <v>0</v>
      </c>
    </row>
    <row r="441" spans="1:15" x14ac:dyDescent="0.6">
      <c r="A441">
        <v>20260500</v>
      </c>
      <c r="B441" t="s">
        <v>123</v>
      </c>
      <c r="C441" t="s">
        <v>27</v>
      </c>
      <c r="D441" t="s">
        <v>24</v>
      </c>
      <c r="E441">
        <v>11001</v>
      </c>
      <c r="F441">
        <v>12001</v>
      </c>
      <c r="G441">
        <v>25.8</v>
      </c>
      <c r="H441">
        <v>0.25804759532248361</v>
      </c>
      <c r="I441" t="s">
        <v>70</v>
      </c>
      <c r="J441">
        <f t="shared" si="30"/>
        <v>0.74195240467751633</v>
      </c>
      <c r="K441" t="str">
        <f t="shared" si="31"/>
        <v>70~100</v>
      </c>
      <c r="L441" t="str">
        <f t="shared" si="32"/>
        <v>AWAY</v>
      </c>
      <c r="M441">
        <f t="shared" si="33"/>
        <v>0.55049337080674898</v>
      </c>
      <c r="N441">
        <v>0</v>
      </c>
      <c r="O441">
        <f t="shared" si="34"/>
        <v>1</v>
      </c>
    </row>
    <row r="442" spans="1:15" x14ac:dyDescent="0.6">
      <c r="A442">
        <v>20260501</v>
      </c>
      <c r="B442" t="s">
        <v>124</v>
      </c>
      <c r="C442" t="s">
        <v>28</v>
      </c>
      <c r="D442" t="s">
        <v>17</v>
      </c>
      <c r="E442">
        <v>5002</v>
      </c>
      <c r="F442">
        <v>10001</v>
      </c>
      <c r="G442">
        <v>51.38</v>
      </c>
      <c r="H442">
        <v>0.51379802889491777</v>
      </c>
      <c r="I442" t="s">
        <v>70</v>
      </c>
      <c r="J442">
        <f t="shared" si="30"/>
        <v>0.51379802889491777</v>
      </c>
      <c r="K442" t="str">
        <f t="shared" si="31"/>
        <v>50~55</v>
      </c>
      <c r="L442" t="str">
        <f t="shared" si="32"/>
        <v>HOME</v>
      </c>
      <c r="M442">
        <f t="shared" si="33"/>
        <v>0.26398841449630278</v>
      </c>
      <c r="N442">
        <v>0</v>
      </c>
      <c r="O442">
        <f t="shared" si="34"/>
        <v>0</v>
      </c>
    </row>
    <row r="443" spans="1:15" x14ac:dyDescent="0.6">
      <c r="A443">
        <v>20260502</v>
      </c>
      <c r="B443" t="s">
        <v>124</v>
      </c>
      <c r="C443" t="s">
        <v>19</v>
      </c>
      <c r="D443" t="s">
        <v>16</v>
      </c>
      <c r="E443">
        <v>9002</v>
      </c>
      <c r="F443">
        <v>6002</v>
      </c>
      <c r="G443">
        <v>55.25</v>
      </c>
      <c r="H443">
        <v>0.55250721804979286</v>
      </c>
      <c r="I443" t="s">
        <v>70</v>
      </c>
      <c r="J443">
        <f t="shared" si="30"/>
        <v>0.55250721804979286</v>
      </c>
      <c r="K443" t="str">
        <f t="shared" si="31"/>
        <v>55~60</v>
      </c>
      <c r="L443" t="str">
        <f t="shared" si="32"/>
        <v>HOME</v>
      </c>
      <c r="M443">
        <f t="shared" si="33"/>
        <v>0.20024978989753564</v>
      </c>
      <c r="N443">
        <v>1</v>
      </c>
      <c r="O443">
        <f t="shared" si="34"/>
        <v>1</v>
      </c>
    </row>
    <row r="444" spans="1:15" x14ac:dyDescent="0.6">
      <c r="A444">
        <v>20260503</v>
      </c>
      <c r="B444" t="s">
        <v>124</v>
      </c>
      <c r="C444" t="s">
        <v>20</v>
      </c>
      <c r="D444" t="s">
        <v>23</v>
      </c>
      <c r="E444">
        <v>7002</v>
      </c>
      <c r="F444">
        <v>3001</v>
      </c>
      <c r="G444">
        <v>45.89</v>
      </c>
      <c r="H444">
        <v>0.45892496712728498</v>
      </c>
      <c r="I444" t="s">
        <v>70</v>
      </c>
      <c r="J444">
        <f t="shared" si="30"/>
        <v>0.54107503287271497</v>
      </c>
      <c r="K444" t="str">
        <f t="shared" si="31"/>
        <v>50~55</v>
      </c>
      <c r="L444" t="str">
        <f t="shared" si="32"/>
        <v>AWAY</v>
      </c>
      <c r="M444">
        <f t="shared" si="33"/>
        <v>0.21061212545277966</v>
      </c>
      <c r="N444">
        <v>1</v>
      </c>
      <c r="O444">
        <f t="shared" si="34"/>
        <v>0</v>
      </c>
    </row>
    <row r="445" spans="1:15" x14ac:dyDescent="0.6">
      <c r="A445">
        <v>20260504</v>
      </c>
      <c r="B445" t="s">
        <v>124</v>
      </c>
      <c r="C445" t="s">
        <v>22</v>
      </c>
      <c r="D445" t="s">
        <v>21</v>
      </c>
      <c r="E445">
        <v>1001</v>
      </c>
      <c r="F445">
        <v>2002</v>
      </c>
      <c r="G445">
        <v>61.94</v>
      </c>
      <c r="H445">
        <v>0.61935153319134872</v>
      </c>
      <c r="I445" t="s">
        <v>70</v>
      </c>
      <c r="J445">
        <f t="shared" si="30"/>
        <v>0.61935153319134872</v>
      </c>
      <c r="K445" t="str">
        <f t="shared" si="31"/>
        <v>60~65</v>
      </c>
      <c r="L445" t="str">
        <f t="shared" si="32"/>
        <v>HOME</v>
      </c>
      <c r="M445">
        <f t="shared" si="33"/>
        <v>0.38359632166647434</v>
      </c>
      <c r="N445">
        <v>0</v>
      </c>
      <c r="O445">
        <f t="shared" si="34"/>
        <v>0</v>
      </c>
    </row>
    <row r="446" spans="1:15" x14ac:dyDescent="0.6">
      <c r="A446">
        <v>20260505</v>
      </c>
      <c r="B446" t="s">
        <v>124</v>
      </c>
      <c r="C446" t="s">
        <v>27</v>
      </c>
      <c r="D446" t="s">
        <v>24</v>
      </c>
      <c r="E446">
        <v>11001</v>
      </c>
      <c r="F446">
        <v>12001</v>
      </c>
      <c r="G446">
        <v>42.92</v>
      </c>
      <c r="H446">
        <v>0.42915567073348848</v>
      </c>
      <c r="I446" t="s">
        <v>70</v>
      </c>
      <c r="J446">
        <f t="shared" si="30"/>
        <v>0.57084432926651152</v>
      </c>
      <c r="K446" t="str">
        <f t="shared" si="31"/>
        <v>55~60</v>
      </c>
      <c r="L446" t="str">
        <f t="shared" si="32"/>
        <v>AWAY</v>
      </c>
      <c r="M446">
        <f t="shared" si="33"/>
        <v>0.32586324825573343</v>
      </c>
      <c r="N446">
        <v>0</v>
      </c>
      <c r="O446">
        <f t="shared" si="34"/>
        <v>1</v>
      </c>
    </row>
    <row r="447" spans="1:15" x14ac:dyDescent="0.6">
      <c r="A447">
        <v>20260506</v>
      </c>
      <c r="B447" t="s">
        <v>125</v>
      </c>
      <c r="C447" t="s">
        <v>28</v>
      </c>
      <c r="D447" t="s">
        <v>17</v>
      </c>
      <c r="E447">
        <v>5002</v>
      </c>
      <c r="F447">
        <v>10001</v>
      </c>
      <c r="G447">
        <v>34.159999999999997</v>
      </c>
      <c r="H447">
        <v>0.3415935778681603</v>
      </c>
      <c r="I447" t="s">
        <v>70</v>
      </c>
      <c r="J447">
        <f t="shared" si="30"/>
        <v>0.65840642213183975</v>
      </c>
      <c r="K447" t="str">
        <f t="shared" si="31"/>
        <v>65~70</v>
      </c>
      <c r="L447" t="str">
        <f t="shared" si="32"/>
        <v>AWAY</v>
      </c>
      <c r="M447">
        <f t="shared" si="33"/>
        <v>0.11668617244077086</v>
      </c>
      <c r="N447">
        <v>1</v>
      </c>
      <c r="O447">
        <f t="shared" si="34"/>
        <v>0</v>
      </c>
    </row>
    <row r="448" spans="1:15" x14ac:dyDescent="0.6">
      <c r="A448">
        <v>20260507</v>
      </c>
      <c r="B448" t="s">
        <v>125</v>
      </c>
      <c r="C448" t="s">
        <v>19</v>
      </c>
      <c r="D448" t="s">
        <v>16</v>
      </c>
      <c r="E448">
        <v>9002</v>
      </c>
      <c r="F448">
        <v>6002</v>
      </c>
      <c r="G448">
        <v>33.72</v>
      </c>
      <c r="H448">
        <v>0.33719229382776122</v>
      </c>
      <c r="I448" t="s">
        <v>70</v>
      </c>
      <c r="J448">
        <f t="shared" si="30"/>
        <v>0.66280770617223883</v>
      </c>
      <c r="K448" t="str">
        <f t="shared" si="31"/>
        <v>65~70</v>
      </c>
      <c r="L448" t="str">
        <f t="shared" si="32"/>
        <v>AWAY</v>
      </c>
      <c r="M448">
        <f t="shared" si="33"/>
        <v>0.43931405536130491</v>
      </c>
      <c r="N448">
        <v>0</v>
      </c>
      <c r="O448">
        <f t="shared" si="34"/>
        <v>1</v>
      </c>
    </row>
    <row r="449" spans="1:15" x14ac:dyDescent="0.6">
      <c r="A449">
        <v>20260508</v>
      </c>
      <c r="B449" t="s">
        <v>125</v>
      </c>
      <c r="C449" t="s">
        <v>20</v>
      </c>
      <c r="D449" t="s">
        <v>23</v>
      </c>
      <c r="E449">
        <v>7002</v>
      </c>
      <c r="F449">
        <v>3001</v>
      </c>
      <c r="G449">
        <v>46.04</v>
      </c>
      <c r="H449">
        <v>0.46042824746385619</v>
      </c>
      <c r="I449" t="s">
        <v>70</v>
      </c>
      <c r="J449">
        <f t="shared" si="30"/>
        <v>0.53957175253614387</v>
      </c>
      <c r="K449" t="str">
        <f t="shared" si="31"/>
        <v>50~55</v>
      </c>
      <c r="L449" t="str">
        <f t="shared" si="32"/>
        <v>AWAY</v>
      </c>
      <c r="M449">
        <f t="shared" si="33"/>
        <v>0.21199417106263793</v>
      </c>
      <c r="N449">
        <v>1</v>
      </c>
      <c r="O449">
        <f t="shared" si="34"/>
        <v>0</v>
      </c>
    </row>
    <row r="450" spans="1:15" x14ac:dyDescent="0.6">
      <c r="A450">
        <v>20260509</v>
      </c>
      <c r="B450" t="s">
        <v>125</v>
      </c>
      <c r="C450" t="s">
        <v>22</v>
      </c>
      <c r="D450" t="s">
        <v>21</v>
      </c>
      <c r="E450">
        <v>1001</v>
      </c>
      <c r="F450">
        <v>2002</v>
      </c>
      <c r="G450">
        <v>68.27</v>
      </c>
      <c r="H450">
        <v>0.682673204938822</v>
      </c>
      <c r="I450" t="s">
        <v>70</v>
      </c>
      <c r="J450">
        <f t="shared" ref="J450:J513" si="35">MAX(H450,1-H450)</f>
        <v>0.682673204938822</v>
      </c>
      <c r="K450" t="str">
        <f t="shared" ref="K450:K513" si="36">_xlfn.IFS(
J450&lt;=0.55,"50~55",
J450&lt;=0.6,"55~60",
J450&lt;=0.65,"60~65",
J450&lt;=0.7,"65~70",
TRUE,"70~100"
)</f>
        <v>65~70</v>
      </c>
      <c r="L450" t="str">
        <f t="shared" ref="L450:L513" si="37">IF(H450&gt;=0.5,"HOME","AWAY")</f>
        <v>HOME</v>
      </c>
      <c r="M450">
        <f t="shared" ref="M450:M513" si="38">IF(AND(N450&lt;&gt;"", OR(N450=0, N450=1)), (J450-N450)^2, "")</f>
        <v>0.46604270474144288</v>
      </c>
      <c r="N450">
        <v>0</v>
      </c>
      <c r="O450">
        <f t="shared" ref="O450:O513" si="39">IF(AND(N450&lt;&gt;"", OR(N450=0, N450=1)), IF(ROUND(H450,0)=N450, 1, 0), "")</f>
        <v>0</v>
      </c>
    </row>
    <row r="451" spans="1:15" x14ac:dyDescent="0.6">
      <c r="A451">
        <v>20260510</v>
      </c>
      <c r="B451" t="s">
        <v>125</v>
      </c>
      <c r="C451" t="s">
        <v>27</v>
      </c>
      <c r="D451" t="s">
        <v>24</v>
      </c>
      <c r="E451">
        <v>11001</v>
      </c>
      <c r="F451">
        <v>12001</v>
      </c>
      <c r="G451">
        <v>44.85</v>
      </c>
      <c r="H451">
        <v>0.44854565284134718</v>
      </c>
      <c r="I451" t="s">
        <v>70</v>
      </c>
      <c r="J451">
        <f t="shared" si="35"/>
        <v>0.55145434715865282</v>
      </c>
      <c r="K451" t="str">
        <f t="shared" si="36"/>
        <v>55~60</v>
      </c>
      <c r="L451" t="str">
        <f t="shared" si="37"/>
        <v>AWAY</v>
      </c>
      <c r="M451">
        <f t="shared" si="38"/>
        <v>0.30410189700017598</v>
      </c>
      <c r="N451">
        <v>0</v>
      </c>
      <c r="O451">
        <f t="shared" si="39"/>
        <v>1</v>
      </c>
    </row>
    <row r="452" spans="1:15" x14ac:dyDescent="0.6">
      <c r="A452">
        <v>20260511</v>
      </c>
      <c r="B452" t="s">
        <v>126</v>
      </c>
      <c r="C452" t="s">
        <v>16</v>
      </c>
      <c r="D452" t="s">
        <v>28</v>
      </c>
      <c r="E452">
        <v>6002</v>
      </c>
      <c r="F452">
        <v>5002</v>
      </c>
      <c r="G452">
        <v>61.6</v>
      </c>
      <c r="H452">
        <v>0.61602494675315889</v>
      </c>
      <c r="I452" t="s">
        <v>70</v>
      </c>
      <c r="J452">
        <f t="shared" si="35"/>
        <v>0.61602494675315889</v>
      </c>
      <c r="K452" t="str">
        <f t="shared" si="36"/>
        <v>60~65</v>
      </c>
      <c r="L452" t="str">
        <f t="shared" si="37"/>
        <v>HOME</v>
      </c>
      <c r="M452">
        <f t="shared" si="38"/>
        <v>0.14743684151591446</v>
      </c>
      <c r="N452">
        <v>1</v>
      </c>
      <c r="O452">
        <f t="shared" si="39"/>
        <v>1</v>
      </c>
    </row>
    <row r="453" spans="1:15" x14ac:dyDescent="0.6">
      <c r="A453">
        <v>20260512</v>
      </c>
      <c r="B453" t="s">
        <v>126</v>
      </c>
      <c r="C453" t="s">
        <v>17</v>
      </c>
      <c r="D453" t="s">
        <v>19</v>
      </c>
      <c r="E453">
        <v>10001</v>
      </c>
      <c r="F453">
        <v>9002</v>
      </c>
      <c r="G453">
        <v>64.34</v>
      </c>
      <c r="H453">
        <v>0.64344016127462611</v>
      </c>
      <c r="I453" t="s">
        <v>70</v>
      </c>
      <c r="J453">
        <f t="shared" si="35"/>
        <v>0.64344016127462611</v>
      </c>
      <c r="K453" t="str">
        <f t="shared" si="36"/>
        <v>60~65</v>
      </c>
      <c r="L453" t="str">
        <f t="shared" si="37"/>
        <v>HOME</v>
      </c>
      <c r="M453">
        <f t="shared" si="38"/>
        <v>0.12713491859186463</v>
      </c>
      <c r="N453">
        <v>1</v>
      </c>
      <c r="O453">
        <f t="shared" si="39"/>
        <v>1</v>
      </c>
    </row>
    <row r="454" spans="1:15" x14ac:dyDescent="0.6">
      <c r="A454">
        <v>20260513</v>
      </c>
      <c r="B454" t="s">
        <v>126</v>
      </c>
      <c r="C454" t="s">
        <v>24</v>
      </c>
      <c r="D454" t="s">
        <v>20</v>
      </c>
      <c r="E454">
        <v>12001</v>
      </c>
      <c r="F454">
        <v>7002</v>
      </c>
      <c r="G454">
        <v>52.54</v>
      </c>
      <c r="H454">
        <v>0.52537636384816666</v>
      </c>
      <c r="I454" t="s">
        <v>70</v>
      </c>
      <c r="J454">
        <f t="shared" si="35"/>
        <v>0.52537636384816666</v>
      </c>
      <c r="K454" t="str">
        <f t="shared" si="36"/>
        <v>50~55</v>
      </c>
      <c r="L454" t="str">
        <f t="shared" si="37"/>
        <v>HOME</v>
      </c>
      <c r="M454">
        <f t="shared" si="38"/>
        <v>0.22526759599398788</v>
      </c>
      <c r="N454">
        <v>1</v>
      </c>
      <c r="O454">
        <f t="shared" si="39"/>
        <v>1</v>
      </c>
    </row>
    <row r="455" spans="1:15" x14ac:dyDescent="0.6">
      <c r="A455">
        <v>20260514</v>
      </c>
      <c r="B455" t="s">
        <v>126</v>
      </c>
      <c r="C455" t="s">
        <v>23</v>
      </c>
      <c r="D455" t="s">
        <v>22</v>
      </c>
      <c r="E455">
        <v>3001</v>
      </c>
      <c r="F455">
        <v>1001</v>
      </c>
      <c r="G455">
        <v>43.03</v>
      </c>
      <c r="H455">
        <v>0.43034630227865878</v>
      </c>
      <c r="I455" t="s">
        <v>70</v>
      </c>
      <c r="J455">
        <f t="shared" si="35"/>
        <v>0.56965369772134122</v>
      </c>
      <c r="K455" t="str">
        <f t="shared" si="36"/>
        <v>55~60</v>
      </c>
      <c r="L455" t="str">
        <f t="shared" si="37"/>
        <v>AWAY</v>
      </c>
      <c r="M455">
        <f t="shared" si="38"/>
        <v>0.32450533532759718</v>
      </c>
      <c r="N455">
        <v>0</v>
      </c>
      <c r="O455">
        <f t="shared" si="39"/>
        <v>1</v>
      </c>
    </row>
    <row r="456" spans="1:15" x14ac:dyDescent="0.6">
      <c r="A456">
        <v>20260515</v>
      </c>
      <c r="B456" t="s">
        <v>126</v>
      </c>
      <c r="C456" t="s">
        <v>27</v>
      </c>
      <c r="D456" t="s">
        <v>21</v>
      </c>
      <c r="E456">
        <v>11001</v>
      </c>
      <c r="F456">
        <v>2002</v>
      </c>
      <c r="G456">
        <v>46.95</v>
      </c>
      <c r="H456">
        <v>0.46952723350165948</v>
      </c>
      <c r="I456" t="s">
        <v>70</v>
      </c>
      <c r="J456">
        <f t="shared" si="35"/>
        <v>0.53047276649834052</v>
      </c>
      <c r="K456" t="str">
        <f t="shared" si="36"/>
        <v>50~55</v>
      </c>
      <c r="L456" t="str">
        <f t="shared" si="37"/>
        <v>AWAY</v>
      </c>
      <c r="M456">
        <f t="shared" si="38"/>
        <v>0.22045582299972186</v>
      </c>
      <c r="N456">
        <v>1</v>
      </c>
      <c r="O456">
        <f t="shared" si="39"/>
        <v>0</v>
      </c>
    </row>
    <row r="457" spans="1:15" x14ac:dyDescent="0.6">
      <c r="A457">
        <v>20260516</v>
      </c>
      <c r="B457" t="s">
        <v>127</v>
      </c>
      <c r="C457" t="s">
        <v>16</v>
      </c>
      <c r="D457" t="s">
        <v>28</v>
      </c>
      <c r="E457">
        <v>6002</v>
      </c>
      <c r="F457">
        <v>5002</v>
      </c>
      <c r="G457">
        <v>75.5</v>
      </c>
      <c r="H457">
        <v>0.75503096382776735</v>
      </c>
      <c r="I457" t="s">
        <v>70</v>
      </c>
      <c r="J457">
        <f t="shared" si="35"/>
        <v>0.75503096382776735</v>
      </c>
      <c r="K457" t="str">
        <f t="shared" si="36"/>
        <v>70~100</v>
      </c>
      <c r="L457" t="str">
        <f t="shared" si="37"/>
        <v>HOME</v>
      </c>
      <c r="M457" t="str">
        <f t="shared" si="38"/>
        <v/>
      </c>
      <c r="N457" t="s">
        <v>50</v>
      </c>
      <c r="O457" t="str">
        <f t="shared" si="39"/>
        <v/>
      </c>
    </row>
    <row r="458" spans="1:15" x14ac:dyDescent="0.6">
      <c r="A458">
        <v>20260517</v>
      </c>
      <c r="B458" t="s">
        <v>127</v>
      </c>
      <c r="C458" t="s">
        <v>17</v>
      </c>
      <c r="D458" t="s">
        <v>19</v>
      </c>
      <c r="E458">
        <v>10001</v>
      </c>
      <c r="F458">
        <v>9002</v>
      </c>
      <c r="G458">
        <v>47.55</v>
      </c>
      <c r="H458">
        <v>0.47550462739114568</v>
      </c>
      <c r="I458" t="s">
        <v>70</v>
      </c>
      <c r="J458">
        <f t="shared" si="35"/>
        <v>0.52449537260885437</v>
      </c>
      <c r="K458" t="str">
        <f t="shared" si="36"/>
        <v>50~55</v>
      </c>
      <c r="L458" t="str">
        <f t="shared" si="37"/>
        <v>AWAY</v>
      </c>
      <c r="M458">
        <f t="shared" si="38"/>
        <v>0.275095395888101</v>
      </c>
      <c r="N458">
        <v>0</v>
      </c>
      <c r="O458">
        <f t="shared" si="39"/>
        <v>1</v>
      </c>
    </row>
    <row r="459" spans="1:15" x14ac:dyDescent="0.6">
      <c r="A459">
        <v>20260518</v>
      </c>
      <c r="B459" t="s">
        <v>127</v>
      </c>
      <c r="C459" t="s">
        <v>24</v>
      </c>
      <c r="D459" t="s">
        <v>20</v>
      </c>
      <c r="E459">
        <v>12001</v>
      </c>
      <c r="F459">
        <v>7002</v>
      </c>
      <c r="G459">
        <v>47.13</v>
      </c>
      <c r="H459">
        <v>0.47134005227477371</v>
      </c>
      <c r="I459" t="s">
        <v>70</v>
      </c>
      <c r="J459">
        <f t="shared" si="35"/>
        <v>0.52865994772522629</v>
      </c>
      <c r="K459" t="str">
        <f t="shared" si="36"/>
        <v>50~55</v>
      </c>
      <c r="L459" t="str">
        <f t="shared" si="37"/>
        <v>AWAY</v>
      </c>
      <c r="M459">
        <f t="shared" si="38"/>
        <v>0.2221614448783864</v>
      </c>
      <c r="N459">
        <v>1</v>
      </c>
      <c r="O459">
        <f t="shared" si="39"/>
        <v>0</v>
      </c>
    </row>
    <row r="460" spans="1:15" x14ac:dyDescent="0.6">
      <c r="A460">
        <v>20260519</v>
      </c>
      <c r="B460" t="s">
        <v>127</v>
      </c>
      <c r="C460" t="s">
        <v>23</v>
      </c>
      <c r="D460" t="s">
        <v>22</v>
      </c>
      <c r="E460">
        <v>3001</v>
      </c>
      <c r="F460">
        <v>1001</v>
      </c>
      <c r="G460">
        <v>16.59</v>
      </c>
      <c r="H460">
        <v>0.16590100565358701</v>
      </c>
      <c r="I460" t="s">
        <v>70</v>
      </c>
      <c r="J460">
        <f t="shared" si="35"/>
        <v>0.83409899434641299</v>
      </c>
      <c r="K460" t="str">
        <f t="shared" si="36"/>
        <v>70~100</v>
      </c>
      <c r="L460" t="str">
        <f t="shared" si="37"/>
        <v>AWAY</v>
      </c>
      <c r="M460" t="str">
        <f t="shared" si="38"/>
        <v/>
      </c>
      <c r="N460" t="s">
        <v>31</v>
      </c>
      <c r="O460" t="str">
        <f t="shared" si="39"/>
        <v/>
      </c>
    </row>
    <row r="461" spans="1:15" x14ac:dyDescent="0.6">
      <c r="A461">
        <v>20260520</v>
      </c>
      <c r="B461" t="s">
        <v>127</v>
      </c>
      <c r="C461" t="s">
        <v>27</v>
      </c>
      <c r="D461" t="s">
        <v>21</v>
      </c>
      <c r="E461">
        <v>11001</v>
      </c>
      <c r="F461">
        <v>2002</v>
      </c>
      <c r="G461">
        <v>64.38</v>
      </c>
      <c r="H461">
        <v>0.64380537744851452</v>
      </c>
      <c r="I461" t="s">
        <v>70</v>
      </c>
      <c r="J461">
        <f t="shared" si="35"/>
        <v>0.64380537744851452</v>
      </c>
      <c r="K461" t="str">
        <f t="shared" si="36"/>
        <v>60~65</v>
      </c>
      <c r="L461" t="str">
        <f t="shared" si="37"/>
        <v>HOME</v>
      </c>
      <c r="M461" t="str">
        <f t="shared" si="38"/>
        <v/>
      </c>
      <c r="N461" t="s">
        <v>31</v>
      </c>
      <c r="O461" t="str">
        <f t="shared" si="39"/>
        <v/>
      </c>
    </row>
    <row r="462" spans="1:15" x14ac:dyDescent="0.6">
      <c r="A462">
        <v>20260522</v>
      </c>
      <c r="B462" t="s">
        <v>128</v>
      </c>
      <c r="C462" t="s">
        <v>17</v>
      </c>
      <c r="D462" t="s">
        <v>19</v>
      </c>
      <c r="E462">
        <v>10001</v>
      </c>
      <c r="F462">
        <v>9002</v>
      </c>
      <c r="G462">
        <v>20.399999999999999</v>
      </c>
      <c r="H462">
        <v>0.20398777242101879</v>
      </c>
      <c r="I462" t="s">
        <v>70</v>
      </c>
      <c r="J462">
        <f t="shared" si="35"/>
        <v>0.79601222757898116</v>
      </c>
      <c r="K462" t="str">
        <f t="shared" si="36"/>
        <v>70~100</v>
      </c>
      <c r="L462" t="str">
        <f t="shared" si="37"/>
        <v>AWAY</v>
      </c>
      <c r="M462">
        <f t="shared" si="38"/>
        <v>4.1611011297289377E-2</v>
      </c>
      <c r="N462">
        <v>1</v>
      </c>
      <c r="O462">
        <f t="shared" si="39"/>
        <v>0</v>
      </c>
    </row>
    <row r="463" spans="1:15" x14ac:dyDescent="0.6">
      <c r="A463">
        <v>20260521</v>
      </c>
      <c r="B463" t="s">
        <v>128</v>
      </c>
      <c r="C463" t="s">
        <v>16</v>
      </c>
      <c r="D463" t="s">
        <v>28</v>
      </c>
      <c r="E463">
        <v>6002</v>
      </c>
      <c r="F463">
        <v>5002</v>
      </c>
      <c r="G463">
        <v>67.66</v>
      </c>
      <c r="H463">
        <v>0.67660251719563513</v>
      </c>
      <c r="I463" t="s">
        <v>70</v>
      </c>
      <c r="J463">
        <f t="shared" si="35"/>
        <v>0.67660251719563513</v>
      </c>
      <c r="K463" t="str">
        <f t="shared" si="36"/>
        <v>65~70</v>
      </c>
      <c r="L463" t="str">
        <f t="shared" si="37"/>
        <v>HOME</v>
      </c>
      <c r="M463">
        <f t="shared" si="38"/>
        <v>0.10458593188419947</v>
      </c>
      <c r="N463">
        <v>1</v>
      </c>
      <c r="O463">
        <f t="shared" si="39"/>
        <v>1</v>
      </c>
    </row>
    <row r="464" spans="1:15" x14ac:dyDescent="0.6">
      <c r="A464">
        <v>20260523</v>
      </c>
      <c r="B464" t="s">
        <v>128</v>
      </c>
      <c r="C464" t="s">
        <v>24</v>
      </c>
      <c r="D464" t="s">
        <v>20</v>
      </c>
      <c r="E464">
        <v>12001</v>
      </c>
      <c r="F464">
        <v>7002</v>
      </c>
      <c r="G464">
        <v>55.29</v>
      </c>
      <c r="H464">
        <v>0.55293087763726323</v>
      </c>
      <c r="I464" t="s">
        <v>70</v>
      </c>
      <c r="J464">
        <f t="shared" si="35"/>
        <v>0.55293087763726323</v>
      </c>
      <c r="K464" t="str">
        <f t="shared" si="36"/>
        <v>55~60</v>
      </c>
      <c r="L464" t="str">
        <f t="shared" si="37"/>
        <v>HOME</v>
      </c>
      <c r="M464">
        <f t="shared" si="38"/>
        <v>0.19987080017018771</v>
      </c>
      <c r="N464">
        <v>1</v>
      </c>
      <c r="O464">
        <f t="shared" si="39"/>
        <v>1</v>
      </c>
    </row>
    <row r="465" spans="1:15" x14ac:dyDescent="0.6">
      <c r="A465">
        <v>20260524</v>
      </c>
      <c r="B465" t="s">
        <v>128</v>
      </c>
      <c r="C465" t="s">
        <v>23</v>
      </c>
      <c r="D465" t="s">
        <v>22</v>
      </c>
      <c r="E465">
        <v>3001</v>
      </c>
      <c r="F465">
        <v>1001</v>
      </c>
      <c r="G465">
        <v>16.59</v>
      </c>
      <c r="H465">
        <v>0.1659005382854736</v>
      </c>
      <c r="I465" t="s">
        <v>70</v>
      </c>
      <c r="J465">
        <f t="shared" si="35"/>
        <v>0.83409946171452642</v>
      </c>
      <c r="K465" t="str">
        <f t="shared" si="36"/>
        <v>70~100</v>
      </c>
      <c r="L465" t="str">
        <f t="shared" si="37"/>
        <v>AWAY</v>
      </c>
      <c r="M465">
        <f t="shared" si="38"/>
        <v>2.7522988603409883E-2</v>
      </c>
      <c r="N465">
        <v>1</v>
      </c>
      <c r="O465">
        <f t="shared" si="39"/>
        <v>0</v>
      </c>
    </row>
    <row r="466" spans="1:15" x14ac:dyDescent="0.6">
      <c r="A466">
        <v>20260527</v>
      </c>
      <c r="B466" t="s">
        <v>129</v>
      </c>
      <c r="C466" t="s">
        <v>19</v>
      </c>
      <c r="D466" t="s">
        <v>28</v>
      </c>
      <c r="E466">
        <v>9002</v>
      </c>
      <c r="F466">
        <v>5002</v>
      </c>
      <c r="G466">
        <v>45.19</v>
      </c>
      <c r="H466">
        <v>0.45189566001756731</v>
      </c>
      <c r="I466" t="s">
        <v>70</v>
      </c>
      <c r="J466">
        <f t="shared" si="35"/>
        <v>0.54810433998243269</v>
      </c>
      <c r="K466" t="str">
        <f t="shared" si="36"/>
        <v>50~55</v>
      </c>
      <c r="L466" t="str">
        <f t="shared" si="37"/>
        <v>AWAY</v>
      </c>
      <c r="M466">
        <f t="shared" si="38"/>
        <v>0.20420968754271279</v>
      </c>
      <c r="N466">
        <v>1</v>
      </c>
      <c r="O466">
        <f t="shared" si="39"/>
        <v>0</v>
      </c>
    </row>
    <row r="467" spans="1:15" x14ac:dyDescent="0.6">
      <c r="A467">
        <v>20260528</v>
      </c>
      <c r="B467" t="s">
        <v>129</v>
      </c>
      <c r="C467" t="s">
        <v>22</v>
      </c>
      <c r="D467" t="s">
        <v>20</v>
      </c>
      <c r="E467">
        <v>1001</v>
      </c>
      <c r="F467">
        <v>7002</v>
      </c>
      <c r="G467">
        <v>48.22</v>
      </c>
      <c r="H467">
        <v>0.48220975389456072</v>
      </c>
      <c r="I467" t="s">
        <v>70</v>
      </c>
      <c r="J467">
        <f t="shared" si="35"/>
        <v>0.51779024610543933</v>
      </c>
      <c r="K467" t="str">
        <f t="shared" si="36"/>
        <v>50~55</v>
      </c>
      <c r="L467" t="str">
        <f t="shared" si="37"/>
        <v>AWAY</v>
      </c>
      <c r="M467">
        <f t="shared" si="38"/>
        <v>0.26810673896193143</v>
      </c>
      <c r="N467">
        <v>0</v>
      </c>
      <c r="O467">
        <f t="shared" si="39"/>
        <v>1</v>
      </c>
    </row>
    <row r="468" spans="1:15" x14ac:dyDescent="0.6">
      <c r="A468">
        <v>20260530</v>
      </c>
      <c r="B468" t="s">
        <v>129</v>
      </c>
      <c r="C468" t="s">
        <v>23</v>
      </c>
      <c r="D468" t="s">
        <v>17</v>
      </c>
      <c r="E468">
        <v>3001</v>
      </c>
      <c r="F468">
        <v>10001</v>
      </c>
      <c r="G468">
        <v>67.760000000000005</v>
      </c>
      <c r="H468">
        <v>0.67759385342188683</v>
      </c>
      <c r="I468" t="s">
        <v>70</v>
      </c>
      <c r="J468">
        <f t="shared" si="35"/>
        <v>0.67759385342188683</v>
      </c>
      <c r="K468" t="str">
        <f t="shared" si="36"/>
        <v>65~70</v>
      </c>
      <c r="L468" t="str">
        <f t="shared" si="37"/>
        <v>HOME</v>
      </c>
      <c r="M468">
        <f t="shared" si="38"/>
        <v>0.1039457233513478</v>
      </c>
      <c r="N468">
        <v>1</v>
      </c>
      <c r="O468">
        <f t="shared" si="39"/>
        <v>1</v>
      </c>
    </row>
    <row r="469" spans="1:15" x14ac:dyDescent="0.6">
      <c r="A469">
        <v>20260531</v>
      </c>
      <c r="B469" t="s">
        <v>130</v>
      </c>
      <c r="C469" t="s">
        <v>16</v>
      </c>
      <c r="D469" t="s">
        <v>27</v>
      </c>
      <c r="E469">
        <v>6002</v>
      </c>
      <c r="F469">
        <v>11001</v>
      </c>
      <c r="G469">
        <v>52.53</v>
      </c>
      <c r="H469">
        <v>0.52533958734737318</v>
      </c>
      <c r="I469" t="s">
        <v>70</v>
      </c>
      <c r="J469">
        <f t="shared" si="35"/>
        <v>0.52533958734737318</v>
      </c>
      <c r="K469" t="str">
        <f t="shared" si="36"/>
        <v>50~55</v>
      </c>
      <c r="L469" t="str">
        <f t="shared" si="37"/>
        <v>HOME</v>
      </c>
      <c r="M469" t="str">
        <f t="shared" si="38"/>
        <v/>
      </c>
      <c r="N469" t="s">
        <v>31</v>
      </c>
      <c r="O469" t="str">
        <f t="shared" si="39"/>
        <v/>
      </c>
    </row>
    <row r="470" spans="1:15" x14ac:dyDescent="0.6">
      <c r="A470">
        <v>20260532</v>
      </c>
      <c r="B470" t="s">
        <v>130</v>
      </c>
      <c r="C470" t="s">
        <v>19</v>
      </c>
      <c r="D470" t="s">
        <v>28</v>
      </c>
      <c r="E470">
        <v>9002</v>
      </c>
      <c r="F470">
        <v>5002</v>
      </c>
      <c r="G470">
        <v>54.95</v>
      </c>
      <c r="H470">
        <v>0.54952729648009924</v>
      </c>
      <c r="I470" t="s">
        <v>70</v>
      </c>
      <c r="J470">
        <f t="shared" si="35"/>
        <v>0.54952729648009924</v>
      </c>
      <c r="K470" t="str">
        <f t="shared" si="36"/>
        <v>50~55</v>
      </c>
      <c r="L470" t="str">
        <f t="shared" si="37"/>
        <v>HOME</v>
      </c>
      <c r="M470" t="str">
        <f t="shared" si="38"/>
        <v/>
      </c>
      <c r="N470" t="s">
        <v>31</v>
      </c>
      <c r="O470" t="str">
        <f t="shared" si="39"/>
        <v/>
      </c>
    </row>
    <row r="471" spans="1:15" x14ac:dyDescent="0.6">
      <c r="A471">
        <v>20260533</v>
      </c>
      <c r="B471" t="s">
        <v>130</v>
      </c>
      <c r="C471" t="s">
        <v>22</v>
      </c>
      <c r="D471" t="s">
        <v>20</v>
      </c>
      <c r="E471">
        <v>1001</v>
      </c>
      <c r="F471">
        <v>7002</v>
      </c>
      <c r="G471">
        <v>58.86</v>
      </c>
      <c r="H471">
        <v>0.58862322346708595</v>
      </c>
      <c r="I471" t="s">
        <v>70</v>
      </c>
      <c r="J471">
        <f t="shared" si="35"/>
        <v>0.58862322346708595</v>
      </c>
      <c r="K471" t="str">
        <f t="shared" si="36"/>
        <v>55~60</v>
      </c>
      <c r="L471" t="str">
        <f t="shared" si="37"/>
        <v>HOME</v>
      </c>
      <c r="M471" t="str">
        <f t="shared" si="38"/>
        <v/>
      </c>
      <c r="N471" t="s">
        <v>31</v>
      </c>
      <c r="O471" t="str">
        <f t="shared" si="39"/>
        <v/>
      </c>
    </row>
    <row r="472" spans="1:15" x14ac:dyDescent="0.6">
      <c r="A472">
        <v>20260534</v>
      </c>
      <c r="B472" t="s">
        <v>130</v>
      </c>
      <c r="C472" t="s">
        <v>21</v>
      </c>
      <c r="D472" t="s">
        <v>24</v>
      </c>
      <c r="E472">
        <v>2002</v>
      </c>
      <c r="F472">
        <v>12001</v>
      </c>
      <c r="G472">
        <v>44.74</v>
      </c>
      <c r="H472">
        <v>0.44741809388235021</v>
      </c>
      <c r="I472" t="s">
        <v>70</v>
      </c>
      <c r="J472">
        <f t="shared" si="35"/>
        <v>0.55258190611764979</v>
      </c>
      <c r="K472" t="str">
        <f t="shared" si="36"/>
        <v>55~60</v>
      </c>
      <c r="L472" t="str">
        <f t="shared" si="37"/>
        <v>AWAY</v>
      </c>
      <c r="M472" t="str">
        <f t="shared" si="38"/>
        <v/>
      </c>
      <c r="N472" t="s">
        <v>31</v>
      </c>
      <c r="O472" t="str">
        <f t="shared" si="39"/>
        <v/>
      </c>
    </row>
    <row r="473" spans="1:15" x14ac:dyDescent="0.6">
      <c r="A473">
        <v>20260535</v>
      </c>
      <c r="B473" t="s">
        <v>130</v>
      </c>
      <c r="C473" t="s">
        <v>23</v>
      </c>
      <c r="D473" t="s">
        <v>17</v>
      </c>
      <c r="E473">
        <v>3001</v>
      </c>
      <c r="F473">
        <v>10001</v>
      </c>
      <c r="G473">
        <v>44.62</v>
      </c>
      <c r="H473">
        <v>0.44619826497264931</v>
      </c>
      <c r="I473" t="s">
        <v>70</v>
      </c>
      <c r="J473">
        <f t="shared" si="35"/>
        <v>0.55380173502735075</v>
      </c>
      <c r="K473" t="str">
        <f t="shared" si="36"/>
        <v>55~60</v>
      </c>
      <c r="L473" t="str">
        <f t="shared" si="37"/>
        <v>AWAY</v>
      </c>
      <c r="M473" t="str">
        <f t="shared" si="38"/>
        <v/>
      </c>
      <c r="N473" t="s">
        <v>31</v>
      </c>
      <c r="O473" t="str">
        <f t="shared" si="39"/>
        <v/>
      </c>
    </row>
    <row r="474" spans="1:15" x14ac:dyDescent="0.6">
      <c r="A474">
        <v>20260556</v>
      </c>
      <c r="B474" t="s">
        <v>131</v>
      </c>
      <c r="C474" t="s">
        <v>16</v>
      </c>
      <c r="D474" t="s">
        <v>20</v>
      </c>
      <c r="E474">
        <v>6002</v>
      </c>
      <c r="F474">
        <v>7002</v>
      </c>
      <c r="G474">
        <v>59.48</v>
      </c>
      <c r="H474">
        <v>0.5947819573728591</v>
      </c>
      <c r="I474" t="s">
        <v>70</v>
      </c>
      <c r="J474">
        <f t="shared" si="35"/>
        <v>0.5947819573728591</v>
      </c>
      <c r="K474" t="str">
        <f t="shared" si="36"/>
        <v>55~60</v>
      </c>
      <c r="L474" t="str">
        <f t="shared" si="37"/>
        <v>HOME</v>
      </c>
      <c r="M474">
        <f t="shared" si="38"/>
        <v>0.16420166207057138</v>
      </c>
      <c r="N474">
        <v>1</v>
      </c>
      <c r="O474">
        <f t="shared" si="39"/>
        <v>1</v>
      </c>
    </row>
    <row r="475" spans="1:15" x14ac:dyDescent="0.6">
      <c r="A475">
        <v>20260557</v>
      </c>
      <c r="B475" t="s">
        <v>131</v>
      </c>
      <c r="C475" t="s">
        <v>17</v>
      </c>
      <c r="D475" t="s">
        <v>28</v>
      </c>
      <c r="E475">
        <v>10001</v>
      </c>
      <c r="F475">
        <v>5002</v>
      </c>
      <c r="G475">
        <v>23.9</v>
      </c>
      <c r="H475">
        <v>0.2389687951054881</v>
      </c>
      <c r="I475" t="s">
        <v>70</v>
      </c>
      <c r="J475">
        <f t="shared" si="35"/>
        <v>0.76103120489451193</v>
      </c>
      <c r="K475" t="str">
        <f t="shared" si="36"/>
        <v>70~100</v>
      </c>
      <c r="L475" t="str">
        <f t="shared" si="37"/>
        <v>AWAY</v>
      </c>
      <c r="M475">
        <f t="shared" si="38"/>
        <v>0.57916849482319255</v>
      </c>
      <c r="N475">
        <v>0</v>
      </c>
      <c r="O475">
        <f t="shared" si="39"/>
        <v>1</v>
      </c>
    </row>
    <row r="476" spans="1:15" x14ac:dyDescent="0.6">
      <c r="A476">
        <v>20260558</v>
      </c>
      <c r="B476" t="s">
        <v>131</v>
      </c>
      <c r="C476" t="s">
        <v>19</v>
      </c>
      <c r="D476" t="s">
        <v>23</v>
      </c>
      <c r="E476">
        <v>9002</v>
      </c>
      <c r="F476">
        <v>3001</v>
      </c>
      <c r="G476">
        <v>59.36</v>
      </c>
      <c r="H476">
        <v>0.59356092007795513</v>
      </c>
      <c r="I476" t="s">
        <v>70</v>
      </c>
      <c r="J476">
        <f t="shared" si="35"/>
        <v>0.59356092007795513</v>
      </c>
      <c r="K476" t="str">
        <f t="shared" si="36"/>
        <v>55~60</v>
      </c>
      <c r="L476" t="str">
        <f t="shared" si="37"/>
        <v>HOME</v>
      </c>
      <c r="M476">
        <f t="shared" si="38"/>
        <v>0.16519272568787838</v>
      </c>
      <c r="N476">
        <v>1</v>
      </c>
      <c r="O476">
        <f t="shared" si="39"/>
        <v>1</v>
      </c>
    </row>
    <row r="477" spans="1:15" x14ac:dyDescent="0.6">
      <c r="A477">
        <v>20260559</v>
      </c>
      <c r="B477" t="s">
        <v>131</v>
      </c>
      <c r="C477" t="s">
        <v>21</v>
      </c>
      <c r="D477" t="s">
        <v>22</v>
      </c>
      <c r="E477">
        <v>2002</v>
      </c>
      <c r="F477">
        <v>1001</v>
      </c>
      <c r="G477">
        <v>40.32</v>
      </c>
      <c r="H477">
        <v>0.4031950022941605</v>
      </c>
      <c r="I477" t="s">
        <v>70</v>
      </c>
      <c r="J477">
        <f t="shared" si="35"/>
        <v>0.5968049977058395</v>
      </c>
      <c r="K477" t="str">
        <f t="shared" si="36"/>
        <v>55~60</v>
      </c>
      <c r="L477" t="str">
        <f t="shared" si="37"/>
        <v>AWAY</v>
      </c>
      <c r="M477">
        <f t="shared" si="38"/>
        <v>0.1625662098749881</v>
      </c>
      <c r="N477">
        <v>1</v>
      </c>
      <c r="O477">
        <f t="shared" si="39"/>
        <v>0</v>
      </c>
    </row>
    <row r="478" spans="1:15" x14ac:dyDescent="0.6">
      <c r="A478">
        <v>20260560</v>
      </c>
      <c r="B478" t="s">
        <v>131</v>
      </c>
      <c r="C478" t="s">
        <v>27</v>
      </c>
      <c r="D478" t="s">
        <v>24</v>
      </c>
      <c r="E478">
        <v>11001</v>
      </c>
      <c r="F478">
        <v>12001</v>
      </c>
      <c r="G478">
        <v>48.62</v>
      </c>
      <c r="H478">
        <v>0.48621027591618299</v>
      </c>
      <c r="I478" t="s">
        <v>70</v>
      </c>
      <c r="J478">
        <f t="shared" si="35"/>
        <v>0.51378972408381696</v>
      </c>
      <c r="K478" t="str">
        <f t="shared" si="36"/>
        <v>50~55</v>
      </c>
      <c r="L478" t="str">
        <f t="shared" si="37"/>
        <v>AWAY</v>
      </c>
      <c r="M478">
        <f t="shared" si="38"/>
        <v>0.26397988057412475</v>
      </c>
      <c r="N478">
        <v>0</v>
      </c>
      <c r="O478">
        <f t="shared" si="39"/>
        <v>1</v>
      </c>
    </row>
    <row r="479" spans="1:15" x14ac:dyDescent="0.6">
      <c r="A479">
        <v>20260561</v>
      </c>
      <c r="B479" t="s">
        <v>132</v>
      </c>
      <c r="C479" t="s">
        <v>16</v>
      </c>
      <c r="D479" t="s">
        <v>20</v>
      </c>
      <c r="E479">
        <v>6002</v>
      </c>
      <c r="F479">
        <v>7002</v>
      </c>
      <c r="G479">
        <v>71.06</v>
      </c>
      <c r="H479">
        <v>0.71055203502423103</v>
      </c>
      <c r="I479" t="s">
        <v>70</v>
      </c>
      <c r="J479">
        <f t="shared" si="35"/>
        <v>0.71055203502423103</v>
      </c>
      <c r="K479" t="str">
        <f t="shared" si="36"/>
        <v>70~100</v>
      </c>
      <c r="L479" t="str">
        <f t="shared" si="37"/>
        <v>HOME</v>
      </c>
      <c r="M479">
        <f t="shared" si="38"/>
        <v>0.504884194477076</v>
      </c>
      <c r="N479">
        <v>0</v>
      </c>
      <c r="O479">
        <f t="shared" si="39"/>
        <v>0</v>
      </c>
    </row>
    <row r="480" spans="1:15" x14ac:dyDescent="0.6">
      <c r="A480">
        <v>20260562</v>
      </c>
      <c r="B480" t="s">
        <v>132</v>
      </c>
      <c r="C480" t="s">
        <v>17</v>
      </c>
      <c r="D480" t="s">
        <v>28</v>
      </c>
      <c r="E480">
        <v>10001</v>
      </c>
      <c r="F480">
        <v>5002</v>
      </c>
      <c r="G480">
        <v>39.61</v>
      </c>
      <c r="H480">
        <v>0.39609531733421821</v>
      </c>
      <c r="I480" t="s">
        <v>70</v>
      </c>
      <c r="J480">
        <f t="shared" si="35"/>
        <v>0.60390468266578179</v>
      </c>
      <c r="K480" t="str">
        <f t="shared" si="36"/>
        <v>60~65</v>
      </c>
      <c r="L480" t="str">
        <f t="shared" si="37"/>
        <v>AWAY</v>
      </c>
      <c r="M480">
        <f t="shared" si="38"/>
        <v>0.15689150041409503</v>
      </c>
      <c r="N480">
        <v>1</v>
      </c>
      <c r="O480">
        <f t="shared" si="39"/>
        <v>0</v>
      </c>
    </row>
    <row r="481" spans="1:15" x14ac:dyDescent="0.6">
      <c r="A481">
        <v>20260563</v>
      </c>
      <c r="B481" t="s">
        <v>132</v>
      </c>
      <c r="C481" t="s">
        <v>19</v>
      </c>
      <c r="D481" t="s">
        <v>23</v>
      </c>
      <c r="E481">
        <v>9002</v>
      </c>
      <c r="F481">
        <v>3001</v>
      </c>
      <c r="G481">
        <v>48.51</v>
      </c>
      <c r="H481">
        <v>0.48505624686332771</v>
      </c>
      <c r="I481" t="s">
        <v>70</v>
      </c>
      <c r="J481">
        <f t="shared" si="35"/>
        <v>0.51494375313667229</v>
      </c>
      <c r="K481" t="str">
        <f t="shared" si="36"/>
        <v>50~55</v>
      </c>
      <c r="L481" t="str">
        <f t="shared" si="37"/>
        <v>AWAY</v>
      </c>
      <c r="M481">
        <f t="shared" si="38"/>
        <v>0.23527956262113753</v>
      </c>
      <c r="N481">
        <v>1</v>
      </c>
      <c r="O481">
        <f t="shared" si="39"/>
        <v>0</v>
      </c>
    </row>
    <row r="482" spans="1:15" x14ac:dyDescent="0.6">
      <c r="A482">
        <v>20260564</v>
      </c>
      <c r="B482" t="s">
        <v>132</v>
      </c>
      <c r="C482" t="s">
        <v>21</v>
      </c>
      <c r="D482" t="s">
        <v>22</v>
      </c>
      <c r="E482">
        <v>2002</v>
      </c>
      <c r="F482">
        <v>1001</v>
      </c>
      <c r="G482">
        <v>79.8</v>
      </c>
      <c r="H482">
        <v>0.79797135334653546</v>
      </c>
      <c r="I482" t="s">
        <v>70</v>
      </c>
      <c r="J482">
        <f t="shared" si="35"/>
        <v>0.79797135334653546</v>
      </c>
      <c r="K482" t="str">
        <f t="shared" si="36"/>
        <v>70~100</v>
      </c>
      <c r="L482" t="str">
        <f t="shared" si="37"/>
        <v>HOME</v>
      </c>
      <c r="M482">
        <f t="shared" si="38"/>
        <v>4.0815574068630428E-2</v>
      </c>
      <c r="N482">
        <v>1</v>
      </c>
      <c r="O482">
        <f t="shared" si="39"/>
        <v>1</v>
      </c>
    </row>
    <row r="483" spans="1:15" x14ac:dyDescent="0.6">
      <c r="A483">
        <v>20260565</v>
      </c>
      <c r="B483" t="s">
        <v>132</v>
      </c>
      <c r="C483" t="s">
        <v>27</v>
      </c>
      <c r="D483" t="s">
        <v>24</v>
      </c>
      <c r="E483">
        <v>11001</v>
      </c>
      <c r="F483">
        <v>12001</v>
      </c>
      <c r="G483">
        <v>42.91</v>
      </c>
      <c r="H483">
        <v>0.42910980742311378</v>
      </c>
      <c r="I483" t="s">
        <v>70</v>
      </c>
      <c r="J483">
        <f t="shared" si="35"/>
        <v>0.57089019257688622</v>
      </c>
      <c r="K483" t="str">
        <f t="shared" si="36"/>
        <v>55~60</v>
      </c>
      <c r="L483" t="str">
        <f t="shared" si="37"/>
        <v>AWAY</v>
      </c>
      <c r="M483">
        <f t="shared" si="38"/>
        <v>0.1841352268267018</v>
      </c>
      <c r="N483">
        <v>1</v>
      </c>
      <c r="O483">
        <f t="shared" si="39"/>
        <v>0</v>
      </c>
    </row>
    <row r="484" spans="1:15" x14ac:dyDescent="0.6">
      <c r="A484">
        <v>20260566</v>
      </c>
      <c r="B484" t="s">
        <v>133</v>
      </c>
      <c r="C484" t="s">
        <v>16</v>
      </c>
      <c r="D484" t="s">
        <v>20</v>
      </c>
      <c r="E484">
        <v>6002</v>
      </c>
      <c r="F484">
        <v>7002</v>
      </c>
      <c r="G484">
        <v>55.43</v>
      </c>
      <c r="H484">
        <v>0.55430185578591085</v>
      </c>
      <c r="I484" t="s">
        <v>70</v>
      </c>
      <c r="J484">
        <f t="shared" si="35"/>
        <v>0.55430185578591085</v>
      </c>
      <c r="K484" t="str">
        <f t="shared" si="36"/>
        <v>55~60</v>
      </c>
      <c r="L484" t="str">
        <f t="shared" si="37"/>
        <v>HOME</v>
      </c>
      <c r="M484">
        <f t="shared" si="38"/>
        <v>0.19864683575588302</v>
      </c>
      <c r="N484">
        <v>1</v>
      </c>
      <c r="O484">
        <f t="shared" si="39"/>
        <v>1</v>
      </c>
    </row>
    <row r="485" spans="1:15" x14ac:dyDescent="0.6">
      <c r="A485">
        <v>20260567</v>
      </c>
      <c r="B485" t="s">
        <v>133</v>
      </c>
      <c r="C485" t="s">
        <v>17</v>
      </c>
      <c r="D485" t="s">
        <v>28</v>
      </c>
      <c r="E485">
        <v>10001</v>
      </c>
      <c r="F485">
        <v>5002</v>
      </c>
      <c r="G485">
        <v>57.89</v>
      </c>
      <c r="H485">
        <v>0.57887858837215311</v>
      </c>
      <c r="I485" t="s">
        <v>70</v>
      </c>
      <c r="J485">
        <f t="shared" si="35"/>
        <v>0.57887858837215311</v>
      </c>
      <c r="K485" t="str">
        <f t="shared" si="36"/>
        <v>55~60</v>
      </c>
      <c r="L485" t="str">
        <f t="shared" si="37"/>
        <v>HOME</v>
      </c>
      <c r="M485">
        <f t="shared" si="38"/>
        <v>0.3351004200757367</v>
      </c>
      <c r="N485">
        <v>0</v>
      </c>
      <c r="O485">
        <f t="shared" si="39"/>
        <v>0</v>
      </c>
    </row>
    <row r="486" spans="1:15" x14ac:dyDescent="0.6">
      <c r="A486">
        <v>20260568</v>
      </c>
      <c r="B486" t="s">
        <v>133</v>
      </c>
      <c r="C486" t="s">
        <v>19</v>
      </c>
      <c r="D486" t="s">
        <v>23</v>
      </c>
      <c r="E486">
        <v>9002</v>
      </c>
      <c r="F486">
        <v>3001</v>
      </c>
      <c r="G486">
        <v>37.5</v>
      </c>
      <c r="H486">
        <v>0.37498626221709358</v>
      </c>
      <c r="I486" t="s">
        <v>70</v>
      </c>
      <c r="J486">
        <f t="shared" si="35"/>
        <v>0.62501373778290636</v>
      </c>
      <c r="K486" t="str">
        <f t="shared" si="36"/>
        <v>60~65</v>
      </c>
      <c r="L486" t="str">
        <f t="shared" si="37"/>
        <v>AWAY</v>
      </c>
      <c r="M486">
        <f t="shared" si="38"/>
        <v>0.39064217241735966</v>
      </c>
      <c r="N486">
        <v>0</v>
      </c>
      <c r="O486">
        <f t="shared" si="39"/>
        <v>1</v>
      </c>
    </row>
    <row r="487" spans="1:15" x14ac:dyDescent="0.6">
      <c r="A487">
        <v>20260569</v>
      </c>
      <c r="B487" t="s">
        <v>133</v>
      </c>
      <c r="C487" t="s">
        <v>21</v>
      </c>
      <c r="D487" t="s">
        <v>22</v>
      </c>
      <c r="E487">
        <v>2002</v>
      </c>
      <c r="F487">
        <v>1001</v>
      </c>
      <c r="G487">
        <v>39.32</v>
      </c>
      <c r="H487">
        <v>0.39315670713233458</v>
      </c>
      <c r="I487" t="s">
        <v>70</v>
      </c>
      <c r="J487">
        <f t="shared" si="35"/>
        <v>0.60684329286766547</v>
      </c>
      <c r="K487" t="str">
        <f t="shared" si="36"/>
        <v>60~65</v>
      </c>
      <c r="L487" t="str">
        <f t="shared" si="37"/>
        <v>AWAY</v>
      </c>
      <c r="M487">
        <f t="shared" si="38"/>
        <v>0.36825878209847118</v>
      </c>
      <c r="N487">
        <v>0</v>
      </c>
      <c r="O487">
        <f t="shared" si="39"/>
        <v>1</v>
      </c>
    </row>
    <row r="488" spans="1:15" x14ac:dyDescent="0.6">
      <c r="A488">
        <v>20260570</v>
      </c>
      <c r="B488" t="s">
        <v>133</v>
      </c>
      <c r="C488" t="s">
        <v>27</v>
      </c>
      <c r="D488" t="s">
        <v>24</v>
      </c>
      <c r="E488">
        <v>11001</v>
      </c>
      <c r="F488">
        <v>12001</v>
      </c>
      <c r="G488">
        <v>43.63</v>
      </c>
      <c r="H488">
        <v>0.43629075177340459</v>
      </c>
      <c r="I488" t="s">
        <v>70</v>
      </c>
      <c r="J488">
        <f t="shared" si="35"/>
        <v>0.56370924822659541</v>
      </c>
      <c r="K488" t="str">
        <f t="shared" si="36"/>
        <v>55~60</v>
      </c>
      <c r="L488" t="str">
        <f t="shared" si="37"/>
        <v>AWAY</v>
      </c>
      <c r="M488">
        <f t="shared" si="38"/>
        <v>0.19034962008300255</v>
      </c>
      <c r="N488">
        <v>1</v>
      </c>
      <c r="O488">
        <f t="shared" si="39"/>
        <v>0</v>
      </c>
    </row>
    <row r="489" spans="1:15" x14ac:dyDescent="0.6">
      <c r="A489">
        <v>20260571</v>
      </c>
      <c r="B489" t="s">
        <v>134</v>
      </c>
      <c r="C489" t="s">
        <v>28</v>
      </c>
      <c r="D489" t="s">
        <v>19</v>
      </c>
      <c r="E489">
        <v>5002</v>
      </c>
      <c r="F489">
        <v>9002</v>
      </c>
      <c r="G489">
        <v>51.79</v>
      </c>
      <c r="H489">
        <v>0.51789452901179578</v>
      </c>
      <c r="I489" t="s">
        <v>70</v>
      </c>
      <c r="J489">
        <f t="shared" si="35"/>
        <v>0.51789452901179578</v>
      </c>
      <c r="K489" t="str">
        <f t="shared" si="36"/>
        <v>50~55</v>
      </c>
      <c r="L489" t="str">
        <f t="shared" si="37"/>
        <v>HOME</v>
      </c>
      <c r="M489">
        <f t="shared" si="38"/>
        <v>0.26821474318034977</v>
      </c>
      <c r="N489">
        <v>0</v>
      </c>
      <c r="O489">
        <f t="shared" si="39"/>
        <v>0</v>
      </c>
    </row>
    <row r="490" spans="1:15" x14ac:dyDescent="0.6">
      <c r="A490">
        <v>20260572</v>
      </c>
      <c r="B490" t="s">
        <v>134</v>
      </c>
      <c r="C490" t="s">
        <v>24</v>
      </c>
      <c r="D490" t="s">
        <v>17</v>
      </c>
      <c r="E490">
        <v>12001</v>
      </c>
      <c r="F490">
        <v>10001</v>
      </c>
      <c r="G490">
        <v>65.06</v>
      </c>
      <c r="H490">
        <v>0.65055820313373902</v>
      </c>
      <c r="I490" t="s">
        <v>70</v>
      </c>
      <c r="J490">
        <f t="shared" si="35"/>
        <v>0.65055820313373902</v>
      </c>
      <c r="K490" t="str">
        <f t="shared" si="36"/>
        <v>65~70</v>
      </c>
      <c r="L490" t="str">
        <f t="shared" si="37"/>
        <v>HOME</v>
      </c>
      <c r="M490">
        <f t="shared" si="38"/>
        <v>0.1221095693971212</v>
      </c>
      <c r="N490">
        <v>1</v>
      </c>
      <c r="O490">
        <f t="shared" si="39"/>
        <v>1</v>
      </c>
    </row>
    <row r="491" spans="1:15" x14ac:dyDescent="0.6">
      <c r="A491">
        <v>20260573</v>
      </c>
      <c r="B491" t="s">
        <v>134</v>
      </c>
      <c r="C491" t="s">
        <v>22</v>
      </c>
      <c r="D491" t="s">
        <v>20</v>
      </c>
      <c r="E491">
        <v>1001</v>
      </c>
      <c r="F491">
        <v>7002</v>
      </c>
      <c r="G491">
        <v>59.21</v>
      </c>
      <c r="H491">
        <v>0.59205317964102211</v>
      </c>
      <c r="I491" t="s">
        <v>70</v>
      </c>
      <c r="J491">
        <f t="shared" si="35"/>
        <v>0.59205317964102211</v>
      </c>
      <c r="K491" t="str">
        <f t="shared" si="36"/>
        <v>55~60</v>
      </c>
      <c r="L491" t="str">
        <f t="shared" si="37"/>
        <v>HOME</v>
      </c>
      <c r="M491">
        <f t="shared" si="38"/>
        <v>0.16642060824100019</v>
      </c>
      <c r="N491">
        <v>1</v>
      </c>
      <c r="O491">
        <f t="shared" si="39"/>
        <v>1</v>
      </c>
    </row>
    <row r="492" spans="1:15" x14ac:dyDescent="0.6">
      <c r="A492">
        <v>20260574</v>
      </c>
      <c r="B492" t="s">
        <v>134</v>
      </c>
      <c r="C492" t="s">
        <v>21</v>
      </c>
      <c r="D492" t="s">
        <v>16</v>
      </c>
      <c r="E492">
        <v>2002</v>
      </c>
      <c r="F492">
        <v>6002</v>
      </c>
      <c r="G492">
        <v>38.08</v>
      </c>
      <c r="H492">
        <v>0.38078142613839772</v>
      </c>
      <c r="I492" t="s">
        <v>70</v>
      </c>
      <c r="J492">
        <f t="shared" si="35"/>
        <v>0.61921857386160228</v>
      </c>
      <c r="K492" t="str">
        <f t="shared" si="36"/>
        <v>60~65</v>
      </c>
      <c r="L492" t="str">
        <f t="shared" si="37"/>
        <v>AWAY</v>
      </c>
      <c r="M492">
        <f t="shared" si="38"/>
        <v>0.3834316422151966</v>
      </c>
      <c r="N492">
        <v>0</v>
      </c>
      <c r="O492">
        <f t="shared" si="39"/>
        <v>1</v>
      </c>
    </row>
    <row r="493" spans="1:15" x14ac:dyDescent="0.6">
      <c r="A493">
        <v>20260575</v>
      </c>
      <c r="B493" t="s">
        <v>134</v>
      </c>
      <c r="C493" t="s">
        <v>23</v>
      </c>
      <c r="D493" t="s">
        <v>27</v>
      </c>
      <c r="E493">
        <v>3001</v>
      </c>
      <c r="F493">
        <v>11001</v>
      </c>
      <c r="G493">
        <v>56.63</v>
      </c>
      <c r="H493">
        <v>0.56628872881929726</v>
      </c>
      <c r="I493" t="s">
        <v>70</v>
      </c>
      <c r="J493">
        <f t="shared" si="35"/>
        <v>0.56628872881929726</v>
      </c>
      <c r="K493" t="str">
        <f t="shared" si="36"/>
        <v>55~60</v>
      </c>
      <c r="L493" t="str">
        <f t="shared" si="37"/>
        <v>HOME</v>
      </c>
      <c r="M493">
        <f t="shared" si="38"/>
        <v>0.32068292438777557</v>
      </c>
      <c r="N493">
        <v>0</v>
      </c>
      <c r="O493">
        <f t="shared" si="39"/>
        <v>0</v>
      </c>
    </row>
    <row r="494" spans="1:15" x14ac:dyDescent="0.6">
      <c r="A494">
        <v>20260576</v>
      </c>
      <c r="B494" t="s">
        <v>135</v>
      </c>
      <c r="C494" t="s">
        <v>28</v>
      </c>
      <c r="D494" t="s">
        <v>19</v>
      </c>
      <c r="E494">
        <v>5002</v>
      </c>
      <c r="F494">
        <v>9002</v>
      </c>
      <c r="G494">
        <v>64.77</v>
      </c>
      <c r="H494">
        <v>0.64766989758886817</v>
      </c>
      <c r="I494" t="s">
        <v>70</v>
      </c>
      <c r="J494">
        <f t="shared" si="35"/>
        <v>0.64766989758886817</v>
      </c>
      <c r="K494" t="str">
        <f t="shared" si="36"/>
        <v>60~65</v>
      </c>
      <c r="L494" t="str">
        <f t="shared" si="37"/>
        <v>HOME</v>
      </c>
      <c r="M494">
        <f t="shared" si="38"/>
        <v>0.12413650106503864</v>
      </c>
      <c r="N494">
        <v>1</v>
      </c>
      <c r="O494">
        <f t="shared" si="39"/>
        <v>1</v>
      </c>
    </row>
    <row r="495" spans="1:15" x14ac:dyDescent="0.6">
      <c r="A495">
        <v>20260577</v>
      </c>
      <c r="B495" t="s">
        <v>135</v>
      </c>
      <c r="C495" t="s">
        <v>24</v>
      </c>
      <c r="D495" t="s">
        <v>17</v>
      </c>
      <c r="E495">
        <v>12001</v>
      </c>
      <c r="F495">
        <v>10001</v>
      </c>
      <c r="G495">
        <v>56.77</v>
      </c>
      <c r="H495">
        <v>0.56768599972480382</v>
      </c>
      <c r="I495" t="s">
        <v>70</v>
      </c>
      <c r="J495">
        <f t="shared" si="35"/>
        <v>0.56768599972480382</v>
      </c>
      <c r="K495" t="str">
        <f t="shared" si="36"/>
        <v>55~60</v>
      </c>
      <c r="L495" t="str">
        <f t="shared" si="37"/>
        <v>HOME</v>
      </c>
      <c r="M495">
        <f t="shared" si="38"/>
        <v>0.32226739428354995</v>
      </c>
      <c r="N495">
        <v>0</v>
      </c>
      <c r="O495">
        <f t="shared" si="39"/>
        <v>0</v>
      </c>
    </row>
    <row r="496" spans="1:15" x14ac:dyDescent="0.6">
      <c r="A496">
        <v>20260578</v>
      </c>
      <c r="B496" t="s">
        <v>135</v>
      </c>
      <c r="C496" t="s">
        <v>22</v>
      </c>
      <c r="D496" t="s">
        <v>20</v>
      </c>
      <c r="E496">
        <v>1001</v>
      </c>
      <c r="F496">
        <v>7002</v>
      </c>
      <c r="G496">
        <v>51.79</v>
      </c>
      <c r="H496">
        <v>0.51794859254251102</v>
      </c>
      <c r="I496" t="s">
        <v>70</v>
      </c>
      <c r="J496">
        <f t="shared" si="35"/>
        <v>0.51794859254251102</v>
      </c>
      <c r="K496" t="str">
        <f t="shared" si="36"/>
        <v>50~55</v>
      </c>
      <c r="L496" t="str">
        <f t="shared" si="37"/>
        <v>HOME</v>
      </c>
      <c r="M496">
        <f t="shared" si="38"/>
        <v>0.23237355943174606</v>
      </c>
      <c r="N496">
        <v>1</v>
      </c>
      <c r="O496">
        <f t="shared" si="39"/>
        <v>1</v>
      </c>
    </row>
    <row r="497" spans="1:15" x14ac:dyDescent="0.6">
      <c r="A497">
        <v>20260579</v>
      </c>
      <c r="B497" t="s">
        <v>135</v>
      </c>
      <c r="C497" t="s">
        <v>21</v>
      </c>
      <c r="D497" t="s">
        <v>16</v>
      </c>
      <c r="E497">
        <v>2002</v>
      </c>
      <c r="F497">
        <v>6002</v>
      </c>
      <c r="G497">
        <v>45.69</v>
      </c>
      <c r="H497">
        <v>0.4569392173402847</v>
      </c>
      <c r="I497" t="s">
        <v>70</v>
      </c>
      <c r="J497">
        <f t="shared" si="35"/>
        <v>0.54306078265971536</v>
      </c>
      <c r="K497" t="str">
        <f t="shared" si="36"/>
        <v>50~55</v>
      </c>
      <c r="L497" t="str">
        <f t="shared" si="37"/>
        <v>AWAY</v>
      </c>
      <c r="M497">
        <f t="shared" si="38"/>
        <v>0.20879344834355187</v>
      </c>
      <c r="N497">
        <v>1</v>
      </c>
      <c r="O497">
        <f t="shared" si="39"/>
        <v>0</v>
      </c>
    </row>
    <row r="498" spans="1:15" x14ac:dyDescent="0.6">
      <c r="A498">
        <v>20260580</v>
      </c>
      <c r="B498" t="s">
        <v>135</v>
      </c>
      <c r="C498" t="s">
        <v>23</v>
      </c>
      <c r="D498" t="s">
        <v>27</v>
      </c>
      <c r="E498">
        <v>3001</v>
      </c>
      <c r="F498">
        <v>11001</v>
      </c>
      <c r="G498">
        <v>63.87</v>
      </c>
      <c r="H498">
        <v>0.63867453824396592</v>
      </c>
      <c r="I498" t="s">
        <v>70</v>
      </c>
      <c r="J498">
        <f t="shared" si="35"/>
        <v>0.63867453824396592</v>
      </c>
      <c r="K498" t="str">
        <f t="shared" si="36"/>
        <v>60~65</v>
      </c>
      <c r="L498" t="str">
        <f t="shared" si="37"/>
        <v>HOME</v>
      </c>
      <c r="M498">
        <f t="shared" si="38"/>
        <v>0.13055608931321125</v>
      </c>
      <c r="N498">
        <v>1</v>
      </c>
      <c r="O498">
        <f t="shared" si="39"/>
        <v>1</v>
      </c>
    </row>
    <row r="499" spans="1:15" x14ac:dyDescent="0.6">
      <c r="A499">
        <v>20260581</v>
      </c>
      <c r="B499" t="s">
        <v>136</v>
      </c>
      <c r="C499" t="s">
        <v>28</v>
      </c>
      <c r="D499" t="s">
        <v>19</v>
      </c>
      <c r="E499">
        <v>5002</v>
      </c>
      <c r="F499">
        <v>9002</v>
      </c>
      <c r="G499">
        <v>75.680000000000007</v>
      </c>
      <c r="H499">
        <v>0.75675982712899792</v>
      </c>
      <c r="I499" t="s">
        <v>70</v>
      </c>
      <c r="J499">
        <f t="shared" si="35"/>
        <v>0.75675982712899792</v>
      </c>
      <c r="K499" t="str">
        <f t="shared" si="36"/>
        <v>70~100</v>
      </c>
      <c r="L499" t="str">
        <f t="shared" si="37"/>
        <v>HOME</v>
      </c>
      <c r="M499">
        <f t="shared" si="38"/>
        <v>0.57268543595631083</v>
      </c>
      <c r="N499">
        <v>0</v>
      </c>
      <c r="O499">
        <f t="shared" si="39"/>
        <v>0</v>
      </c>
    </row>
    <row r="500" spans="1:15" x14ac:dyDescent="0.6">
      <c r="A500">
        <v>20260582</v>
      </c>
      <c r="B500" t="s">
        <v>136</v>
      </c>
      <c r="C500" t="s">
        <v>24</v>
      </c>
      <c r="D500" t="s">
        <v>17</v>
      </c>
      <c r="E500">
        <v>12001</v>
      </c>
      <c r="F500">
        <v>10001</v>
      </c>
      <c r="G500">
        <v>74.88</v>
      </c>
      <c r="H500">
        <v>0.74879177748662129</v>
      </c>
      <c r="I500" t="s">
        <v>70</v>
      </c>
      <c r="J500">
        <f t="shared" si="35"/>
        <v>0.74879177748662129</v>
      </c>
      <c r="K500" t="str">
        <f t="shared" si="36"/>
        <v>70~100</v>
      </c>
      <c r="L500" t="str">
        <f t="shared" si="37"/>
        <v>HOME</v>
      </c>
      <c r="M500">
        <f t="shared" si="38"/>
        <v>6.3105571058331186E-2</v>
      </c>
      <c r="N500">
        <v>1</v>
      </c>
      <c r="O500">
        <f t="shared" si="39"/>
        <v>1</v>
      </c>
    </row>
    <row r="501" spans="1:15" x14ac:dyDescent="0.6">
      <c r="A501">
        <v>20260583</v>
      </c>
      <c r="B501" t="s">
        <v>136</v>
      </c>
      <c r="C501" t="s">
        <v>22</v>
      </c>
      <c r="D501" t="s">
        <v>20</v>
      </c>
      <c r="E501">
        <v>1001</v>
      </c>
      <c r="F501">
        <v>7002</v>
      </c>
      <c r="G501">
        <v>57.96</v>
      </c>
      <c r="H501">
        <v>0.57962608001709015</v>
      </c>
      <c r="I501" t="s">
        <v>70</v>
      </c>
      <c r="J501">
        <f t="shared" si="35"/>
        <v>0.57962608001709015</v>
      </c>
      <c r="K501" t="str">
        <f t="shared" si="36"/>
        <v>55~60</v>
      </c>
      <c r="L501" t="str">
        <f t="shared" si="37"/>
        <v>HOME</v>
      </c>
      <c r="M501" t="str">
        <f t="shared" si="38"/>
        <v/>
      </c>
      <c r="N501" t="s">
        <v>31</v>
      </c>
      <c r="O501" t="str">
        <f t="shared" si="39"/>
        <v/>
      </c>
    </row>
    <row r="502" spans="1:15" x14ac:dyDescent="0.6">
      <c r="A502">
        <v>20260584</v>
      </c>
      <c r="B502" t="s">
        <v>136</v>
      </c>
      <c r="C502" t="s">
        <v>21</v>
      </c>
      <c r="D502" t="s">
        <v>16</v>
      </c>
      <c r="E502">
        <v>2002</v>
      </c>
      <c r="F502">
        <v>6002</v>
      </c>
      <c r="G502">
        <v>36.36</v>
      </c>
      <c r="H502">
        <v>0.3635974236127269</v>
      </c>
      <c r="I502" t="s">
        <v>70</v>
      </c>
      <c r="J502">
        <f t="shared" si="35"/>
        <v>0.63640257638727316</v>
      </c>
      <c r="K502" t="str">
        <f t="shared" si="36"/>
        <v>60~65</v>
      </c>
      <c r="L502" t="str">
        <f t="shared" si="37"/>
        <v>AWAY</v>
      </c>
      <c r="M502">
        <f t="shared" si="38"/>
        <v>0.13220308645781273</v>
      </c>
      <c r="N502">
        <v>1</v>
      </c>
      <c r="O502">
        <f t="shared" si="39"/>
        <v>0</v>
      </c>
    </row>
    <row r="503" spans="1:15" x14ac:dyDescent="0.6">
      <c r="A503">
        <v>20260585</v>
      </c>
      <c r="B503" t="s">
        <v>136</v>
      </c>
      <c r="C503" t="s">
        <v>23</v>
      </c>
      <c r="D503" t="s">
        <v>27</v>
      </c>
      <c r="E503">
        <v>3001</v>
      </c>
      <c r="F503">
        <v>11001</v>
      </c>
      <c r="G503">
        <v>41.9</v>
      </c>
      <c r="H503">
        <v>0.41903531708409059</v>
      </c>
      <c r="I503" t="s">
        <v>70</v>
      </c>
      <c r="J503">
        <f t="shared" si="35"/>
        <v>0.58096468291590941</v>
      </c>
      <c r="K503" t="str">
        <f t="shared" si="36"/>
        <v>55~60</v>
      </c>
      <c r="L503" t="str">
        <f t="shared" si="37"/>
        <v>AWAY</v>
      </c>
      <c r="M503" t="str">
        <f t="shared" si="38"/>
        <v/>
      </c>
      <c r="N503" t="s">
        <v>31</v>
      </c>
      <c r="O503" t="str">
        <f t="shared" si="39"/>
        <v/>
      </c>
    </row>
    <row r="504" spans="1:15" x14ac:dyDescent="0.6">
      <c r="A504">
        <v>20260586</v>
      </c>
      <c r="B504" t="s">
        <v>137</v>
      </c>
      <c r="C504" t="s">
        <v>28</v>
      </c>
      <c r="D504" t="s">
        <v>24</v>
      </c>
      <c r="E504">
        <v>5002</v>
      </c>
      <c r="F504">
        <v>12001</v>
      </c>
      <c r="G504">
        <v>36.83</v>
      </c>
      <c r="H504">
        <v>0.36825507110894379</v>
      </c>
      <c r="I504" t="s">
        <v>70</v>
      </c>
      <c r="J504">
        <f t="shared" si="35"/>
        <v>0.63174492889105616</v>
      </c>
      <c r="K504" t="str">
        <f t="shared" si="36"/>
        <v>60~65</v>
      </c>
      <c r="L504" t="str">
        <f t="shared" si="37"/>
        <v>AWAY</v>
      </c>
      <c r="M504">
        <f t="shared" si="38"/>
        <v>0.1356117973974533</v>
      </c>
      <c r="N504">
        <v>1</v>
      </c>
      <c r="O504">
        <f t="shared" si="39"/>
        <v>0</v>
      </c>
    </row>
    <row r="505" spans="1:15" x14ac:dyDescent="0.6">
      <c r="A505">
        <v>20260587</v>
      </c>
      <c r="B505" t="s">
        <v>137</v>
      </c>
      <c r="C505" t="s">
        <v>20</v>
      </c>
      <c r="D505" t="s">
        <v>21</v>
      </c>
      <c r="E505">
        <v>7002</v>
      </c>
      <c r="F505">
        <v>2002</v>
      </c>
      <c r="G505">
        <v>45.37</v>
      </c>
      <c r="H505">
        <v>0.45365463963979979</v>
      </c>
      <c r="I505" t="s">
        <v>70</v>
      </c>
      <c r="J505">
        <f t="shared" si="35"/>
        <v>0.54634536036020021</v>
      </c>
      <c r="K505" t="str">
        <f t="shared" si="36"/>
        <v>50~55</v>
      </c>
      <c r="L505" t="str">
        <f t="shared" si="37"/>
        <v>AWAY</v>
      </c>
      <c r="M505">
        <f t="shared" si="38"/>
        <v>0.29849325278711702</v>
      </c>
      <c r="N505">
        <v>0</v>
      </c>
      <c r="O505">
        <f t="shared" si="39"/>
        <v>1</v>
      </c>
    </row>
    <row r="506" spans="1:15" x14ac:dyDescent="0.6">
      <c r="A506">
        <v>20260588</v>
      </c>
      <c r="B506" t="s">
        <v>137</v>
      </c>
      <c r="C506" t="s">
        <v>22</v>
      </c>
      <c r="D506" t="s">
        <v>19</v>
      </c>
      <c r="E506">
        <v>1001</v>
      </c>
      <c r="F506">
        <v>9002</v>
      </c>
      <c r="G506">
        <v>60.44</v>
      </c>
      <c r="H506">
        <v>0.60437442804010177</v>
      </c>
      <c r="I506" t="s">
        <v>70</v>
      </c>
      <c r="J506">
        <f t="shared" si="35"/>
        <v>0.60437442804010177</v>
      </c>
      <c r="K506" t="str">
        <f t="shared" si="36"/>
        <v>60~65</v>
      </c>
      <c r="L506" t="str">
        <f t="shared" si="37"/>
        <v>HOME</v>
      </c>
      <c r="M506">
        <f t="shared" si="38"/>
        <v>0.36526844926880014</v>
      </c>
      <c r="N506">
        <v>0</v>
      </c>
      <c r="O506">
        <f t="shared" si="39"/>
        <v>0</v>
      </c>
    </row>
    <row r="507" spans="1:15" x14ac:dyDescent="0.6">
      <c r="A507">
        <v>20260589</v>
      </c>
      <c r="B507" t="s">
        <v>137</v>
      </c>
      <c r="C507" t="s">
        <v>23</v>
      </c>
      <c r="D507" t="s">
        <v>17</v>
      </c>
      <c r="E507">
        <v>3001</v>
      </c>
      <c r="F507">
        <v>10001</v>
      </c>
      <c r="G507">
        <v>71.81</v>
      </c>
      <c r="H507">
        <v>0.71811349159985993</v>
      </c>
      <c r="I507" t="s">
        <v>70</v>
      </c>
      <c r="J507">
        <f t="shared" si="35"/>
        <v>0.71811349159985993</v>
      </c>
      <c r="K507" t="str">
        <f t="shared" si="36"/>
        <v>70~100</v>
      </c>
      <c r="L507" t="str">
        <f t="shared" si="37"/>
        <v>HOME</v>
      </c>
      <c r="M507">
        <f t="shared" si="38"/>
        <v>7.9460003618022232E-2</v>
      </c>
      <c r="N507">
        <v>1</v>
      </c>
      <c r="O507">
        <f t="shared" si="39"/>
        <v>1</v>
      </c>
    </row>
    <row r="508" spans="1:15" x14ac:dyDescent="0.6">
      <c r="A508">
        <v>20260590</v>
      </c>
      <c r="B508" t="s">
        <v>137</v>
      </c>
      <c r="C508" t="s">
        <v>27</v>
      </c>
      <c r="D508" t="s">
        <v>16</v>
      </c>
      <c r="E508">
        <v>11001</v>
      </c>
      <c r="F508">
        <v>6002</v>
      </c>
      <c r="G508">
        <v>48.82</v>
      </c>
      <c r="H508">
        <v>0.48817691977682931</v>
      </c>
      <c r="I508" t="s">
        <v>70</v>
      </c>
      <c r="J508">
        <f t="shared" si="35"/>
        <v>0.51182308022317069</v>
      </c>
      <c r="K508" t="str">
        <f t="shared" si="36"/>
        <v>50~55</v>
      </c>
      <c r="L508" t="str">
        <f t="shared" si="37"/>
        <v>AWAY</v>
      </c>
      <c r="M508">
        <f t="shared" si="38"/>
        <v>0.26196286544913422</v>
      </c>
      <c r="N508">
        <v>0</v>
      </c>
      <c r="O508">
        <f t="shared" si="39"/>
        <v>1</v>
      </c>
    </row>
    <row r="509" spans="1:15" x14ac:dyDescent="0.6">
      <c r="A509">
        <v>20260596</v>
      </c>
      <c r="B509" t="s">
        <v>138</v>
      </c>
      <c r="C509" t="s">
        <v>28</v>
      </c>
      <c r="D509" t="s">
        <v>24</v>
      </c>
      <c r="E509">
        <v>5002</v>
      </c>
      <c r="F509">
        <v>12001</v>
      </c>
      <c r="G509">
        <v>40.590000000000003</v>
      </c>
      <c r="H509">
        <v>0.40586857078639549</v>
      </c>
      <c r="I509" t="s">
        <v>70</v>
      </c>
      <c r="J509">
        <f t="shared" si="35"/>
        <v>0.59413142921360451</v>
      </c>
      <c r="K509" t="str">
        <f t="shared" si="36"/>
        <v>55~60</v>
      </c>
      <c r="L509" t="str">
        <f t="shared" si="37"/>
        <v>AWAY</v>
      </c>
      <c r="M509">
        <f t="shared" si="38"/>
        <v>0.35299215517940036</v>
      </c>
      <c r="N509">
        <v>0</v>
      </c>
      <c r="O509">
        <f t="shared" si="39"/>
        <v>1</v>
      </c>
    </row>
    <row r="510" spans="1:15" x14ac:dyDescent="0.6">
      <c r="A510">
        <v>20260597</v>
      </c>
      <c r="B510" t="s">
        <v>138</v>
      </c>
      <c r="C510" t="s">
        <v>20</v>
      </c>
      <c r="D510" t="s">
        <v>21</v>
      </c>
      <c r="E510">
        <v>7002</v>
      </c>
      <c r="F510">
        <v>2002</v>
      </c>
      <c r="G510">
        <v>56.71</v>
      </c>
      <c r="H510">
        <v>0.56708396499773772</v>
      </c>
      <c r="I510" t="s">
        <v>70</v>
      </c>
      <c r="J510">
        <f t="shared" si="35"/>
        <v>0.56708396499773772</v>
      </c>
      <c r="K510" t="str">
        <f t="shared" si="36"/>
        <v>55~60</v>
      </c>
      <c r="L510" t="str">
        <f t="shared" si="37"/>
        <v>HOME</v>
      </c>
      <c r="M510">
        <f t="shared" si="38"/>
        <v>0.32158422335755543</v>
      </c>
      <c r="N510">
        <v>0</v>
      </c>
      <c r="O510">
        <f t="shared" si="39"/>
        <v>0</v>
      </c>
    </row>
    <row r="511" spans="1:15" x14ac:dyDescent="0.6">
      <c r="A511">
        <v>20260598</v>
      </c>
      <c r="B511" t="s">
        <v>138</v>
      </c>
      <c r="C511" t="s">
        <v>22</v>
      </c>
      <c r="D511" t="s">
        <v>19</v>
      </c>
      <c r="E511">
        <v>1001</v>
      </c>
      <c r="F511">
        <v>9002</v>
      </c>
      <c r="G511">
        <v>54.15</v>
      </c>
      <c r="H511">
        <v>0.54145928002736976</v>
      </c>
      <c r="I511" t="s">
        <v>70</v>
      </c>
      <c r="J511">
        <f t="shared" si="35"/>
        <v>0.54145928002736976</v>
      </c>
      <c r="K511" t="str">
        <f t="shared" si="36"/>
        <v>50~55</v>
      </c>
      <c r="L511" t="str">
        <f t="shared" si="37"/>
        <v>HOME</v>
      </c>
      <c r="M511">
        <f t="shared" si="38"/>
        <v>0.29317815192775765</v>
      </c>
      <c r="N511">
        <v>0</v>
      </c>
      <c r="O511">
        <f t="shared" si="39"/>
        <v>0</v>
      </c>
    </row>
    <row r="512" spans="1:15" x14ac:dyDescent="0.6">
      <c r="A512">
        <v>20260599</v>
      </c>
      <c r="B512" t="s">
        <v>138</v>
      </c>
      <c r="C512" t="s">
        <v>23</v>
      </c>
      <c r="D512" t="s">
        <v>17</v>
      </c>
      <c r="E512">
        <v>3001</v>
      </c>
      <c r="F512">
        <v>10001</v>
      </c>
      <c r="G512">
        <v>58.24</v>
      </c>
      <c r="H512">
        <v>0.58240635798485396</v>
      </c>
      <c r="I512" t="s">
        <v>70</v>
      </c>
      <c r="J512">
        <f t="shared" si="35"/>
        <v>0.58240635798485396</v>
      </c>
      <c r="K512" t="str">
        <f t="shared" si="36"/>
        <v>55~60</v>
      </c>
      <c r="L512" t="str">
        <f t="shared" si="37"/>
        <v>HOME</v>
      </c>
      <c r="M512">
        <f t="shared" si="38"/>
        <v>0.17438444985147394</v>
      </c>
      <c r="N512">
        <v>1</v>
      </c>
      <c r="O512">
        <f t="shared" si="39"/>
        <v>1</v>
      </c>
    </row>
    <row r="513" spans="1:15" x14ac:dyDescent="0.6">
      <c r="A513">
        <v>20260600</v>
      </c>
      <c r="B513" t="s">
        <v>138</v>
      </c>
      <c r="C513" t="s">
        <v>27</v>
      </c>
      <c r="D513" t="s">
        <v>16</v>
      </c>
      <c r="E513">
        <v>11001</v>
      </c>
      <c r="F513">
        <v>6002</v>
      </c>
      <c r="G513">
        <v>44.65</v>
      </c>
      <c r="H513">
        <v>0.44646582707647442</v>
      </c>
      <c r="I513" t="s">
        <v>70</v>
      </c>
      <c r="J513">
        <f t="shared" si="35"/>
        <v>0.55353417292352558</v>
      </c>
      <c r="K513" t="str">
        <f t="shared" si="36"/>
        <v>55~60</v>
      </c>
      <c r="L513" t="str">
        <f t="shared" si="37"/>
        <v>AWAY</v>
      </c>
      <c r="M513">
        <f t="shared" si="38"/>
        <v>0.19933173474708035</v>
      </c>
      <c r="N513">
        <v>1</v>
      </c>
      <c r="O513">
        <f t="shared" si="39"/>
        <v>0</v>
      </c>
    </row>
    <row r="514" spans="1:15" x14ac:dyDescent="0.6">
      <c r="A514">
        <v>20260601</v>
      </c>
      <c r="B514" t="s">
        <v>139</v>
      </c>
      <c r="C514" t="s">
        <v>16</v>
      </c>
      <c r="D514" t="s">
        <v>23</v>
      </c>
      <c r="E514">
        <v>6002</v>
      </c>
      <c r="F514">
        <v>3001</v>
      </c>
      <c r="G514">
        <v>42.52</v>
      </c>
      <c r="H514">
        <v>0.42516813171775092</v>
      </c>
      <c r="I514" t="s">
        <v>70</v>
      </c>
      <c r="J514">
        <f t="shared" ref="J514:J548" si="40">MAX(H514,1-H514)</f>
        <v>0.57483186828224908</v>
      </c>
      <c r="K514" t="str">
        <f t="shared" ref="K514:K548" si="41">_xlfn.IFS(
J514&lt;=0.55,"50~55",
J514&lt;=0.6,"55~60",
J514&lt;=0.65,"60~65",
J514&lt;=0.7,"65~70",
TRUE,"70~100"
)</f>
        <v>55~60</v>
      </c>
      <c r="L514" t="str">
        <f t="shared" ref="L514:L548" si="42">IF(H514&gt;=0.5,"HOME","AWAY")</f>
        <v>AWAY</v>
      </c>
      <c r="M514">
        <f t="shared" ref="M514:M557" si="43">IF(AND(N514&lt;&gt;"", OR(N514=0, N514=1)), (J514-N514)^2, "")</f>
        <v>0.33043167679286095</v>
      </c>
      <c r="N514">
        <v>0</v>
      </c>
      <c r="O514">
        <f t="shared" ref="O514:O577" si="44">IF(AND(N514&lt;&gt;"", OR(N514=0, N514=1)), IF(ROUND(H514,0)=N514, 1, 0), "")</f>
        <v>1</v>
      </c>
    </row>
    <row r="515" spans="1:15" x14ac:dyDescent="0.6">
      <c r="A515">
        <v>20260602</v>
      </c>
      <c r="B515" t="s">
        <v>139</v>
      </c>
      <c r="C515" t="s">
        <v>17</v>
      </c>
      <c r="D515" t="s">
        <v>21</v>
      </c>
      <c r="E515">
        <v>10001</v>
      </c>
      <c r="F515">
        <v>2002</v>
      </c>
      <c r="G515">
        <v>48.39</v>
      </c>
      <c r="H515">
        <v>0.48386921232711888</v>
      </c>
      <c r="I515" t="s">
        <v>70</v>
      </c>
      <c r="J515">
        <f t="shared" si="40"/>
        <v>0.51613078767288112</v>
      </c>
      <c r="K515" t="str">
        <f t="shared" si="41"/>
        <v>50~55</v>
      </c>
      <c r="L515" t="str">
        <f t="shared" si="42"/>
        <v>AWAY</v>
      </c>
      <c r="M515">
        <f t="shared" si="43"/>
        <v>0.26639098998382871</v>
      </c>
      <c r="N515">
        <v>0</v>
      </c>
      <c r="O515">
        <f t="shared" si="44"/>
        <v>1</v>
      </c>
    </row>
    <row r="516" spans="1:15" x14ac:dyDescent="0.6">
      <c r="A516">
        <v>20260603</v>
      </c>
      <c r="B516" t="s">
        <v>139</v>
      </c>
      <c r="C516" t="s">
        <v>19</v>
      </c>
      <c r="D516" t="s">
        <v>24</v>
      </c>
      <c r="E516">
        <v>9002</v>
      </c>
      <c r="F516">
        <v>12001</v>
      </c>
      <c r="G516">
        <v>35.61</v>
      </c>
      <c r="H516">
        <v>0.35608477511674652</v>
      </c>
      <c r="I516" t="s">
        <v>70</v>
      </c>
      <c r="J516">
        <f t="shared" si="40"/>
        <v>0.64391522488325348</v>
      </c>
      <c r="K516" t="str">
        <f t="shared" si="41"/>
        <v>60~65</v>
      </c>
      <c r="L516" t="str">
        <f t="shared" si="42"/>
        <v>AWAY</v>
      </c>
      <c r="M516" t="str">
        <f t="shared" si="43"/>
        <v/>
      </c>
      <c r="N516" t="s">
        <v>50</v>
      </c>
      <c r="O516" t="str">
        <f t="shared" si="44"/>
        <v/>
      </c>
    </row>
    <row r="517" spans="1:15" x14ac:dyDescent="0.6">
      <c r="A517">
        <v>20260604</v>
      </c>
      <c r="B517" t="s">
        <v>139</v>
      </c>
      <c r="C517" t="s">
        <v>20</v>
      </c>
      <c r="D517" t="s">
        <v>28</v>
      </c>
      <c r="E517">
        <v>7002</v>
      </c>
      <c r="F517">
        <v>5002</v>
      </c>
      <c r="G517">
        <v>31.98</v>
      </c>
      <c r="H517">
        <v>0.3198277542559283</v>
      </c>
      <c r="I517" t="s">
        <v>70</v>
      </c>
      <c r="J517">
        <f t="shared" si="40"/>
        <v>0.68017224574407176</v>
      </c>
      <c r="K517" t="str">
        <f t="shared" si="41"/>
        <v>65~70</v>
      </c>
      <c r="L517" t="str">
        <f t="shared" si="42"/>
        <v>AWAY</v>
      </c>
      <c r="M517">
        <f t="shared" si="43"/>
        <v>0.10228979239239043</v>
      </c>
      <c r="N517">
        <v>1</v>
      </c>
      <c r="O517">
        <f t="shared" si="44"/>
        <v>0</v>
      </c>
    </row>
    <row r="518" spans="1:15" x14ac:dyDescent="0.6">
      <c r="A518">
        <v>20260605</v>
      </c>
      <c r="B518" t="s">
        <v>139</v>
      </c>
      <c r="C518" t="s">
        <v>27</v>
      </c>
      <c r="D518" t="s">
        <v>22</v>
      </c>
      <c r="E518">
        <v>11001</v>
      </c>
      <c r="F518">
        <v>1001</v>
      </c>
      <c r="G518">
        <v>38.21</v>
      </c>
      <c r="H518">
        <v>0.38210155234980819</v>
      </c>
      <c r="I518" t="s">
        <v>70</v>
      </c>
      <c r="J518">
        <f t="shared" si="40"/>
        <v>0.61789844765019186</v>
      </c>
      <c r="K518" t="str">
        <f t="shared" si="41"/>
        <v>60~65</v>
      </c>
      <c r="L518" t="str">
        <f t="shared" si="42"/>
        <v>AWAY</v>
      </c>
      <c r="M518">
        <f t="shared" si="43"/>
        <v>0.14600159630813317</v>
      </c>
      <c r="N518">
        <v>1</v>
      </c>
      <c r="O518">
        <f t="shared" si="44"/>
        <v>0</v>
      </c>
    </row>
    <row r="519" spans="1:15" x14ac:dyDescent="0.6">
      <c r="A519">
        <v>20260607</v>
      </c>
      <c r="B519" t="s">
        <v>140</v>
      </c>
      <c r="C519" t="s">
        <v>17</v>
      </c>
      <c r="D519" t="s">
        <v>21</v>
      </c>
      <c r="E519">
        <v>10001</v>
      </c>
      <c r="F519">
        <v>2002</v>
      </c>
      <c r="G519">
        <v>45.31</v>
      </c>
      <c r="H519">
        <v>0.45310834384337478</v>
      </c>
      <c r="I519" t="s">
        <v>70</v>
      </c>
      <c r="J519">
        <f t="shared" si="40"/>
        <v>0.54689165615662527</v>
      </c>
      <c r="K519" t="str">
        <f t="shared" si="41"/>
        <v>50~55</v>
      </c>
      <c r="L519" t="str">
        <f t="shared" si="42"/>
        <v>AWAY</v>
      </c>
      <c r="M519">
        <f t="shared" si="43"/>
        <v>0.20530717126048589</v>
      </c>
      <c r="N519">
        <v>1</v>
      </c>
      <c r="O519">
        <f t="shared" si="44"/>
        <v>0</v>
      </c>
    </row>
    <row r="520" spans="1:15" x14ac:dyDescent="0.6">
      <c r="A520">
        <v>20260606</v>
      </c>
      <c r="B520" t="s">
        <v>140</v>
      </c>
      <c r="C520" t="s">
        <v>16</v>
      </c>
      <c r="D520" t="s">
        <v>23</v>
      </c>
      <c r="E520">
        <v>6002</v>
      </c>
      <c r="F520">
        <v>3001</v>
      </c>
      <c r="G520">
        <v>63.51</v>
      </c>
      <c r="H520">
        <v>0.63512866404193269</v>
      </c>
      <c r="I520" t="s">
        <v>70</v>
      </c>
      <c r="J520">
        <f t="shared" si="40"/>
        <v>0.63512866404193269</v>
      </c>
      <c r="K520" t="str">
        <f t="shared" si="41"/>
        <v>60~65</v>
      </c>
      <c r="L520" t="str">
        <f t="shared" si="42"/>
        <v>HOME</v>
      </c>
      <c r="M520" t="str">
        <f t="shared" si="43"/>
        <v/>
      </c>
      <c r="N520" t="s">
        <v>31</v>
      </c>
      <c r="O520" t="str">
        <f t="shared" si="44"/>
        <v/>
      </c>
    </row>
    <row r="521" spans="1:15" x14ac:dyDescent="0.6">
      <c r="A521">
        <v>20260608</v>
      </c>
      <c r="B521" t="s">
        <v>140</v>
      </c>
      <c r="C521" t="s">
        <v>19</v>
      </c>
      <c r="D521" t="s">
        <v>24</v>
      </c>
      <c r="E521">
        <v>9002</v>
      </c>
      <c r="F521">
        <v>12001</v>
      </c>
      <c r="G521">
        <v>61.6</v>
      </c>
      <c r="H521">
        <v>0.61597716949804238</v>
      </c>
      <c r="I521" t="s">
        <v>70</v>
      </c>
      <c r="J521">
        <f t="shared" si="40"/>
        <v>0.61597716949804238</v>
      </c>
      <c r="K521" t="str">
        <f t="shared" si="41"/>
        <v>60~65</v>
      </c>
      <c r="L521" t="str">
        <f t="shared" si="42"/>
        <v>HOME</v>
      </c>
      <c r="M521" t="str">
        <f t="shared" si="43"/>
        <v/>
      </c>
      <c r="N521" t="s">
        <v>31</v>
      </c>
      <c r="O521" t="str">
        <f t="shared" si="44"/>
        <v/>
      </c>
    </row>
    <row r="522" spans="1:15" x14ac:dyDescent="0.6">
      <c r="A522">
        <v>20260609</v>
      </c>
      <c r="B522" t="s">
        <v>140</v>
      </c>
      <c r="C522" t="s">
        <v>20</v>
      </c>
      <c r="D522" t="s">
        <v>28</v>
      </c>
      <c r="E522">
        <v>7002</v>
      </c>
      <c r="F522">
        <v>5002</v>
      </c>
      <c r="G522">
        <v>38.950000000000003</v>
      </c>
      <c r="H522">
        <v>0.38953275124201792</v>
      </c>
      <c r="I522" t="s">
        <v>70</v>
      </c>
      <c r="J522">
        <f t="shared" si="40"/>
        <v>0.61046724875798208</v>
      </c>
      <c r="K522" t="str">
        <f t="shared" si="41"/>
        <v>60~65</v>
      </c>
      <c r="L522" t="str">
        <f t="shared" si="42"/>
        <v>AWAY</v>
      </c>
      <c r="M522" t="str">
        <f t="shared" si="43"/>
        <v/>
      </c>
      <c r="N522" t="s">
        <v>31</v>
      </c>
      <c r="O522" t="str">
        <f t="shared" si="44"/>
        <v/>
      </c>
    </row>
    <row r="523" spans="1:15" x14ac:dyDescent="0.6">
      <c r="A523">
        <v>20260610</v>
      </c>
      <c r="B523" t="s">
        <v>140</v>
      </c>
      <c r="C523" t="s">
        <v>27</v>
      </c>
      <c r="D523" t="s">
        <v>22</v>
      </c>
      <c r="E523">
        <v>11001</v>
      </c>
      <c r="F523">
        <v>1001</v>
      </c>
      <c r="G523">
        <v>40.39</v>
      </c>
      <c r="H523">
        <v>0.40392303461801249</v>
      </c>
      <c r="I523" t="s">
        <v>70</v>
      </c>
      <c r="J523">
        <f t="shared" si="40"/>
        <v>0.59607696538198751</v>
      </c>
      <c r="K523" t="str">
        <f t="shared" si="41"/>
        <v>55~60</v>
      </c>
      <c r="L523" t="str">
        <f t="shared" si="42"/>
        <v>AWAY</v>
      </c>
      <c r="M523">
        <f t="shared" si="43"/>
        <v>0.35530774865899911</v>
      </c>
      <c r="N523">
        <v>0</v>
      </c>
      <c r="O523">
        <f t="shared" si="44"/>
        <v>1</v>
      </c>
    </row>
    <row r="524" spans="1:15" x14ac:dyDescent="0.6">
      <c r="A524">
        <v>20260612</v>
      </c>
      <c r="B524" t="s">
        <v>141</v>
      </c>
      <c r="C524" t="s">
        <v>17</v>
      </c>
      <c r="D524" t="s">
        <v>21</v>
      </c>
      <c r="E524">
        <v>10001</v>
      </c>
      <c r="F524">
        <v>2002</v>
      </c>
      <c r="G524">
        <v>32.86</v>
      </c>
      <c r="H524">
        <v>0.32863301627878172</v>
      </c>
      <c r="I524" t="s">
        <v>70</v>
      </c>
      <c r="J524">
        <f t="shared" si="40"/>
        <v>0.67136698372121828</v>
      </c>
      <c r="K524" t="str">
        <f t="shared" si="41"/>
        <v>65~70</v>
      </c>
      <c r="L524" t="str">
        <f t="shared" si="42"/>
        <v>AWAY</v>
      </c>
      <c r="M524">
        <f t="shared" si="43"/>
        <v>0.10799965938849002</v>
      </c>
      <c r="N524">
        <v>1</v>
      </c>
      <c r="O524">
        <f t="shared" si="44"/>
        <v>0</v>
      </c>
    </row>
    <row r="525" spans="1:15" x14ac:dyDescent="0.6">
      <c r="A525">
        <v>20260611</v>
      </c>
      <c r="B525" t="s">
        <v>141</v>
      </c>
      <c r="C525" t="s">
        <v>16</v>
      </c>
      <c r="D525" t="s">
        <v>23</v>
      </c>
      <c r="E525">
        <v>6002</v>
      </c>
      <c r="F525">
        <v>3001</v>
      </c>
      <c r="G525">
        <v>63.51</v>
      </c>
      <c r="H525">
        <v>0.63512944673991611</v>
      </c>
      <c r="I525" t="s">
        <v>70</v>
      </c>
      <c r="J525">
        <f t="shared" si="40"/>
        <v>0.63512944673991611</v>
      </c>
      <c r="K525" t="str">
        <f t="shared" si="41"/>
        <v>60~65</v>
      </c>
      <c r="L525" t="str">
        <f t="shared" si="42"/>
        <v>HOME</v>
      </c>
      <c r="M525">
        <f t="shared" si="43"/>
        <v>0.13313052063631972</v>
      </c>
      <c r="N525">
        <v>1</v>
      </c>
      <c r="O525">
        <f t="shared" si="44"/>
        <v>1</v>
      </c>
    </row>
    <row r="526" spans="1:15" x14ac:dyDescent="0.6">
      <c r="A526">
        <v>20260613</v>
      </c>
      <c r="B526" t="s">
        <v>141</v>
      </c>
      <c r="C526" t="s">
        <v>19</v>
      </c>
      <c r="D526" t="s">
        <v>24</v>
      </c>
      <c r="E526">
        <v>9002</v>
      </c>
      <c r="F526">
        <v>12001</v>
      </c>
      <c r="G526">
        <v>61.6</v>
      </c>
      <c r="H526">
        <v>0.61597637055690591</v>
      </c>
      <c r="I526" t="s">
        <v>70</v>
      </c>
      <c r="J526">
        <f t="shared" si="40"/>
        <v>0.61597637055690591</v>
      </c>
      <c r="K526" t="str">
        <f t="shared" si="41"/>
        <v>60~65</v>
      </c>
      <c r="L526" t="str">
        <f t="shared" si="42"/>
        <v>HOME</v>
      </c>
      <c r="M526">
        <f t="shared" si="43"/>
        <v>0.37942688908445865</v>
      </c>
      <c r="N526">
        <v>0</v>
      </c>
      <c r="O526">
        <f t="shared" si="44"/>
        <v>0</v>
      </c>
    </row>
    <row r="527" spans="1:15" x14ac:dyDescent="0.6">
      <c r="A527">
        <v>20260614</v>
      </c>
      <c r="B527" t="s">
        <v>141</v>
      </c>
      <c r="C527" t="s">
        <v>20</v>
      </c>
      <c r="D527" t="s">
        <v>28</v>
      </c>
      <c r="E527">
        <v>7002</v>
      </c>
      <c r="F527">
        <v>5002</v>
      </c>
      <c r="G527">
        <v>38.950000000000003</v>
      </c>
      <c r="H527">
        <v>0.38953275124201792</v>
      </c>
      <c r="I527" t="s">
        <v>70</v>
      </c>
      <c r="J527">
        <f t="shared" si="40"/>
        <v>0.61046724875798208</v>
      </c>
      <c r="K527" t="str">
        <f t="shared" si="41"/>
        <v>60~65</v>
      </c>
      <c r="L527" t="str">
        <f t="shared" si="42"/>
        <v>AWAY</v>
      </c>
      <c r="M527">
        <f t="shared" si="43"/>
        <v>0.37267026180613999</v>
      </c>
      <c r="N527">
        <v>0</v>
      </c>
      <c r="O527">
        <f t="shared" si="44"/>
        <v>1</v>
      </c>
    </row>
    <row r="528" spans="1:15" x14ac:dyDescent="0.6">
      <c r="A528">
        <v>20260615</v>
      </c>
      <c r="B528" t="s">
        <v>141</v>
      </c>
      <c r="C528" t="s">
        <v>27</v>
      </c>
      <c r="D528" t="s">
        <v>22</v>
      </c>
      <c r="E528">
        <v>11001</v>
      </c>
      <c r="F528">
        <v>1001</v>
      </c>
      <c r="G528">
        <v>47.44</v>
      </c>
      <c r="H528">
        <v>0.47440241645678299</v>
      </c>
      <c r="I528" t="s">
        <v>70</v>
      </c>
      <c r="J528">
        <f t="shared" si="40"/>
        <v>0.52559758354321695</v>
      </c>
      <c r="K528" t="str">
        <f t="shared" si="41"/>
        <v>50~55</v>
      </c>
      <c r="L528" t="str">
        <f t="shared" si="42"/>
        <v>AWAY</v>
      </c>
      <c r="M528">
        <f t="shared" si="43"/>
        <v>0.27625281982646893</v>
      </c>
      <c r="N528">
        <v>0</v>
      </c>
      <c r="O528">
        <f t="shared" si="44"/>
        <v>1</v>
      </c>
    </row>
    <row r="529" spans="1:15" x14ac:dyDescent="0.6">
      <c r="A529">
        <v>20260616</v>
      </c>
      <c r="B529" t="s">
        <v>142</v>
      </c>
      <c r="C529" t="s">
        <v>28</v>
      </c>
      <c r="D529" t="s">
        <v>27</v>
      </c>
      <c r="E529">
        <v>5002</v>
      </c>
      <c r="F529">
        <v>11001</v>
      </c>
      <c r="G529">
        <v>55.07</v>
      </c>
      <c r="H529">
        <v>0.55074312394455249</v>
      </c>
      <c r="I529" t="s">
        <v>143</v>
      </c>
      <c r="J529">
        <f t="shared" si="40"/>
        <v>0.55074312394455249</v>
      </c>
      <c r="K529" t="str">
        <f t="shared" si="41"/>
        <v>55~60</v>
      </c>
      <c r="L529" t="str">
        <f t="shared" si="42"/>
        <v>HOME</v>
      </c>
      <c r="M529">
        <f t="shared" si="43"/>
        <v>0.20183174068309973</v>
      </c>
      <c r="N529">
        <v>1</v>
      </c>
      <c r="O529">
        <f t="shared" si="44"/>
        <v>1</v>
      </c>
    </row>
    <row r="530" spans="1:15" x14ac:dyDescent="0.6">
      <c r="A530">
        <v>20260617</v>
      </c>
      <c r="B530" t="s">
        <v>142</v>
      </c>
      <c r="C530" t="s">
        <v>17</v>
      </c>
      <c r="D530" t="s">
        <v>22</v>
      </c>
      <c r="E530">
        <v>10001</v>
      </c>
      <c r="F530">
        <v>1001</v>
      </c>
      <c r="G530">
        <v>48.04</v>
      </c>
      <c r="H530">
        <v>0.4804351324385534</v>
      </c>
      <c r="I530" t="s">
        <v>143</v>
      </c>
      <c r="J530">
        <f t="shared" si="40"/>
        <v>0.5195648675614466</v>
      </c>
      <c r="K530" t="str">
        <f t="shared" si="41"/>
        <v>50~55</v>
      </c>
      <c r="L530" t="str">
        <f t="shared" si="42"/>
        <v>AWAY</v>
      </c>
      <c r="M530" t="str">
        <f t="shared" si="43"/>
        <v/>
      </c>
      <c r="N530" t="s">
        <v>50</v>
      </c>
      <c r="O530" t="str">
        <f t="shared" si="44"/>
        <v/>
      </c>
    </row>
    <row r="531" spans="1:15" x14ac:dyDescent="0.6">
      <c r="A531">
        <v>20260618</v>
      </c>
      <c r="B531" t="s">
        <v>142</v>
      </c>
      <c r="C531" t="s">
        <v>19</v>
      </c>
      <c r="D531" t="s">
        <v>20</v>
      </c>
      <c r="E531">
        <v>9002</v>
      </c>
      <c r="F531">
        <v>7002</v>
      </c>
      <c r="G531">
        <v>48.34</v>
      </c>
      <c r="H531">
        <v>0.48335706791505728</v>
      </c>
      <c r="I531" t="s">
        <v>143</v>
      </c>
      <c r="J531">
        <f t="shared" si="40"/>
        <v>0.51664293208494272</v>
      </c>
      <c r="K531" t="str">
        <f t="shared" si="41"/>
        <v>50~55</v>
      </c>
      <c r="L531" t="str">
        <f t="shared" si="42"/>
        <v>AWAY</v>
      </c>
      <c r="M531">
        <f t="shared" si="43"/>
        <v>0.23363405510344129</v>
      </c>
      <c r="N531">
        <v>1</v>
      </c>
      <c r="O531">
        <f t="shared" si="44"/>
        <v>0</v>
      </c>
    </row>
    <row r="532" spans="1:15" x14ac:dyDescent="0.6">
      <c r="A532">
        <v>20260619</v>
      </c>
      <c r="B532" t="s">
        <v>142</v>
      </c>
      <c r="C532" t="s">
        <v>24</v>
      </c>
      <c r="D532" t="s">
        <v>16</v>
      </c>
      <c r="E532">
        <v>12001</v>
      </c>
      <c r="F532">
        <v>6002</v>
      </c>
      <c r="G532">
        <v>47.77</v>
      </c>
      <c r="H532">
        <v>0.47772445050045792</v>
      </c>
      <c r="I532" t="s">
        <v>143</v>
      </c>
      <c r="J532">
        <f t="shared" si="40"/>
        <v>0.52227554949954214</v>
      </c>
      <c r="K532" t="str">
        <f t="shared" si="41"/>
        <v>50~55</v>
      </c>
      <c r="L532" t="str">
        <f t="shared" si="42"/>
        <v>AWAY</v>
      </c>
      <c r="M532">
        <f t="shared" si="43"/>
        <v>0.27277174960504869</v>
      </c>
      <c r="N532">
        <v>0</v>
      </c>
      <c r="O532">
        <f t="shared" si="44"/>
        <v>1</v>
      </c>
    </row>
    <row r="533" spans="1:15" x14ac:dyDescent="0.6">
      <c r="A533">
        <v>20260620</v>
      </c>
      <c r="B533" t="s">
        <v>142</v>
      </c>
      <c r="C533" t="s">
        <v>21</v>
      </c>
      <c r="D533" t="s">
        <v>23</v>
      </c>
      <c r="E533">
        <v>2002</v>
      </c>
      <c r="F533">
        <v>3001</v>
      </c>
      <c r="G533">
        <v>39.15</v>
      </c>
      <c r="H533">
        <v>0.39151720265735968</v>
      </c>
      <c r="I533" t="s">
        <v>143</v>
      </c>
      <c r="J533">
        <f t="shared" si="40"/>
        <v>0.60848279734264032</v>
      </c>
      <c r="K533" t="str">
        <f t="shared" si="41"/>
        <v>60~65</v>
      </c>
      <c r="L533" t="str">
        <f t="shared" si="42"/>
        <v>AWAY</v>
      </c>
      <c r="M533">
        <f t="shared" si="43"/>
        <v>0.15328571997664406</v>
      </c>
      <c r="N533">
        <v>1</v>
      </c>
      <c r="O533">
        <f t="shared" si="44"/>
        <v>0</v>
      </c>
    </row>
    <row r="534" spans="1:15" x14ac:dyDescent="0.6">
      <c r="A534">
        <v>20260621</v>
      </c>
      <c r="B534" t="s">
        <v>144</v>
      </c>
      <c r="C534" t="s">
        <v>28</v>
      </c>
      <c r="D534" t="s">
        <v>27</v>
      </c>
      <c r="E534">
        <v>5002</v>
      </c>
      <c r="F534">
        <v>11001</v>
      </c>
      <c r="G534">
        <v>46.08</v>
      </c>
      <c r="H534">
        <v>0.46082032697448339</v>
      </c>
      <c r="I534" t="s">
        <v>143</v>
      </c>
      <c r="J534">
        <f t="shared" si="40"/>
        <v>0.53917967302551661</v>
      </c>
      <c r="K534" t="str">
        <f t="shared" si="41"/>
        <v>50~55</v>
      </c>
      <c r="L534" t="str">
        <f t="shared" si="42"/>
        <v>AWAY</v>
      </c>
      <c r="M534">
        <f t="shared" si="43"/>
        <v>0.21235537375286978</v>
      </c>
      <c r="N534">
        <v>1</v>
      </c>
      <c r="O534">
        <f t="shared" si="44"/>
        <v>0</v>
      </c>
    </row>
    <row r="535" spans="1:15" x14ac:dyDescent="0.6">
      <c r="A535">
        <v>20260622</v>
      </c>
      <c r="B535" t="s">
        <v>144</v>
      </c>
      <c r="C535" t="s">
        <v>17</v>
      </c>
      <c r="D535" t="s">
        <v>22</v>
      </c>
      <c r="E535">
        <v>10001</v>
      </c>
      <c r="F535">
        <v>1001</v>
      </c>
      <c r="G535">
        <v>45.04</v>
      </c>
      <c r="H535">
        <v>0.45042306674079818</v>
      </c>
      <c r="I535" t="s">
        <v>143</v>
      </c>
      <c r="J535">
        <f t="shared" si="40"/>
        <v>0.54957693325920176</v>
      </c>
      <c r="K535" t="str">
        <f t="shared" si="41"/>
        <v>50~55</v>
      </c>
      <c r="L535" t="str">
        <f t="shared" si="42"/>
        <v>AWAY</v>
      </c>
      <c r="M535">
        <f t="shared" si="43"/>
        <v>0.30203480557058909</v>
      </c>
      <c r="N535">
        <v>0</v>
      </c>
      <c r="O535">
        <f t="shared" si="44"/>
        <v>1</v>
      </c>
    </row>
    <row r="536" spans="1:15" x14ac:dyDescent="0.6">
      <c r="A536">
        <v>20260623</v>
      </c>
      <c r="B536" t="s">
        <v>144</v>
      </c>
      <c r="C536" t="s">
        <v>19</v>
      </c>
      <c r="D536" t="s">
        <v>20</v>
      </c>
      <c r="E536">
        <v>9002</v>
      </c>
      <c r="F536">
        <v>7002</v>
      </c>
      <c r="G536">
        <v>43.11</v>
      </c>
      <c r="H536">
        <v>0.43105267638202349</v>
      </c>
      <c r="I536" t="s">
        <v>143</v>
      </c>
      <c r="J536">
        <f t="shared" si="40"/>
        <v>0.56894732361797651</v>
      </c>
      <c r="K536" t="str">
        <f t="shared" si="41"/>
        <v>55~60</v>
      </c>
      <c r="L536" t="str">
        <f t="shared" si="42"/>
        <v>AWAY</v>
      </c>
      <c r="M536">
        <f t="shared" si="43"/>
        <v>0.18580640981610547</v>
      </c>
      <c r="N536">
        <v>1</v>
      </c>
      <c r="O536">
        <f t="shared" si="44"/>
        <v>0</v>
      </c>
    </row>
    <row r="537" spans="1:15" x14ac:dyDescent="0.6">
      <c r="A537">
        <v>20260624</v>
      </c>
      <c r="B537" t="s">
        <v>144</v>
      </c>
      <c r="C537" t="s">
        <v>24</v>
      </c>
      <c r="D537" t="s">
        <v>16</v>
      </c>
      <c r="E537">
        <v>12001</v>
      </c>
      <c r="F537">
        <v>6002</v>
      </c>
      <c r="G537">
        <v>52.7</v>
      </c>
      <c r="H537">
        <v>0.52698703888617904</v>
      </c>
      <c r="I537" t="s">
        <v>143</v>
      </c>
      <c r="J537">
        <f t="shared" si="40"/>
        <v>0.52698703888617904</v>
      </c>
      <c r="K537" t="str">
        <f t="shared" si="41"/>
        <v>50~55</v>
      </c>
      <c r="L537" t="str">
        <f t="shared" si="42"/>
        <v>HOME</v>
      </c>
      <c r="M537">
        <f t="shared" si="43"/>
        <v>0.22374126138166511</v>
      </c>
      <c r="N537">
        <v>1</v>
      </c>
      <c r="O537">
        <f t="shared" si="44"/>
        <v>1</v>
      </c>
    </row>
    <row r="538" spans="1:15" x14ac:dyDescent="0.6">
      <c r="A538">
        <v>20260625</v>
      </c>
      <c r="B538" t="s">
        <v>144</v>
      </c>
      <c r="C538" t="s">
        <v>21</v>
      </c>
      <c r="D538" t="s">
        <v>23</v>
      </c>
      <c r="E538">
        <v>2002</v>
      </c>
      <c r="F538">
        <v>3001</v>
      </c>
      <c r="G538">
        <v>40.799999999999997</v>
      </c>
      <c r="H538">
        <v>0.40796300879895281</v>
      </c>
      <c r="I538" t="s">
        <v>143</v>
      </c>
      <c r="J538">
        <f t="shared" si="40"/>
        <v>0.59203699120104725</v>
      </c>
      <c r="K538" t="str">
        <f t="shared" si="41"/>
        <v>55~60</v>
      </c>
      <c r="L538" t="str">
        <f t="shared" si="42"/>
        <v>AWAY</v>
      </c>
      <c r="M538">
        <f t="shared" si="43"/>
        <v>0.16643381654829439</v>
      </c>
      <c r="N538">
        <v>1</v>
      </c>
      <c r="O538">
        <f t="shared" si="44"/>
        <v>0</v>
      </c>
    </row>
    <row r="539" spans="1:15" x14ac:dyDescent="0.6">
      <c r="A539">
        <v>20260626</v>
      </c>
      <c r="B539" t="s">
        <v>145</v>
      </c>
      <c r="C539" t="s">
        <v>28</v>
      </c>
      <c r="D539" t="s">
        <v>27</v>
      </c>
      <c r="E539">
        <v>5002</v>
      </c>
      <c r="F539">
        <v>11001</v>
      </c>
      <c r="G539">
        <v>53.84</v>
      </c>
      <c r="H539">
        <v>0.53836557847808419</v>
      </c>
      <c r="I539" t="s">
        <v>143</v>
      </c>
      <c r="J539">
        <f t="shared" si="40"/>
        <v>0.53836557847808419</v>
      </c>
      <c r="K539" t="str">
        <f t="shared" si="41"/>
        <v>50~55</v>
      </c>
      <c r="L539" t="str">
        <f t="shared" si="42"/>
        <v>HOME</v>
      </c>
      <c r="M539">
        <f t="shared" si="43"/>
        <v>0.28983749609004222</v>
      </c>
      <c r="N539">
        <v>0</v>
      </c>
      <c r="O539">
        <f t="shared" si="44"/>
        <v>0</v>
      </c>
    </row>
    <row r="540" spans="1:15" x14ac:dyDescent="0.6">
      <c r="A540">
        <v>20260627</v>
      </c>
      <c r="B540" t="s">
        <v>145</v>
      </c>
      <c r="C540" t="s">
        <v>17</v>
      </c>
      <c r="D540" t="s">
        <v>22</v>
      </c>
      <c r="E540">
        <v>10001</v>
      </c>
      <c r="F540">
        <v>1001</v>
      </c>
      <c r="G540">
        <v>43.07</v>
      </c>
      <c r="H540">
        <v>0.43066757807917783</v>
      </c>
      <c r="I540" t="s">
        <v>143</v>
      </c>
      <c r="J540">
        <f t="shared" si="40"/>
        <v>0.56933242192082223</v>
      </c>
      <c r="K540" t="str">
        <f t="shared" si="41"/>
        <v>55~60</v>
      </c>
      <c r="L540" t="str">
        <f t="shared" si="42"/>
        <v>AWAY</v>
      </c>
      <c r="M540">
        <f t="shared" si="43"/>
        <v>0.32413940665022917</v>
      </c>
      <c r="N540">
        <v>0</v>
      </c>
      <c r="O540">
        <f t="shared" si="44"/>
        <v>1</v>
      </c>
    </row>
    <row r="541" spans="1:15" x14ac:dyDescent="0.6">
      <c r="A541">
        <v>20260628</v>
      </c>
      <c r="B541" t="s">
        <v>145</v>
      </c>
      <c r="C541" t="s">
        <v>19</v>
      </c>
      <c r="D541" t="s">
        <v>20</v>
      </c>
      <c r="E541">
        <v>9002</v>
      </c>
      <c r="F541">
        <v>7002</v>
      </c>
      <c r="G541">
        <v>80.37</v>
      </c>
      <c r="H541">
        <v>0.80370143581272657</v>
      </c>
      <c r="I541" t="s">
        <v>143</v>
      </c>
      <c r="J541">
        <f t="shared" si="40"/>
        <v>0.80370143581272657</v>
      </c>
      <c r="K541" t="str">
        <f t="shared" si="41"/>
        <v>70~100</v>
      </c>
      <c r="L541" t="str">
        <f t="shared" si="42"/>
        <v>HOME</v>
      </c>
      <c r="M541">
        <f t="shared" si="43"/>
        <v>3.8533126301985104E-2</v>
      </c>
      <c r="N541">
        <v>1</v>
      </c>
      <c r="O541">
        <f t="shared" si="44"/>
        <v>1</v>
      </c>
    </row>
    <row r="542" spans="1:15" x14ac:dyDescent="0.6">
      <c r="A542">
        <v>20260629</v>
      </c>
      <c r="B542" t="s">
        <v>145</v>
      </c>
      <c r="C542" t="s">
        <v>24</v>
      </c>
      <c r="D542" t="s">
        <v>16</v>
      </c>
      <c r="E542">
        <v>12001</v>
      </c>
      <c r="F542">
        <v>6002</v>
      </c>
      <c r="G542">
        <v>64.72</v>
      </c>
      <c r="H542">
        <v>0.64718056785785361</v>
      </c>
      <c r="I542" t="s">
        <v>143</v>
      </c>
      <c r="J542">
        <f t="shared" si="40"/>
        <v>0.64718056785785361</v>
      </c>
      <c r="K542" t="str">
        <f t="shared" si="41"/>
        <v>60~65</v>
      </c>
      <c r="L542" t="str">
        <f t="shared" si="42"/>
        <v>HOME</v>
      </c>
      <c r="M542">
        <f t="shared" si="43"/>
        <v>0.12448155169710665</v>
      </c>
      <c r="N542">
        <v>1</v>
      </c>
      <c r="O542">
        <f t="shared" si="44"/>
        <v>1</v>
      </c>
    </row>
    <row r="543" spans="1:15" x14ac:dyDescent="0.6">
      <c r="A543">
        <v>20260630</v>
      </c>
      <c r="B543" t="s">
        <v>145</v>
      </c>
      <c r="C543" t="s">
        <v>21</v>
      </c>
      <c r="D543" t="s">
        <v>23</v>
      </c>
      <c r="E543">
        <v>2002</v>
      </c>
      <c r="F543">
        <v>3001</v>
      </c>
      <c r="G543">
        <v>44.57</v>
      </c>
      <c r="H543">
        <v>0.44567783607483202</v>
      </c>
      <c r="I543" t="s">
        <v>143</v>
      </c>
      <c r="J543">
        <f t="shared" si="40"/>
        <v>0.55432216392516798</v>
      </c>
      <c r="K543" t="str">
        <f t="shared" si="41"/>
        <v>55~60</v>
      </c>
      <c r="L543" t="str">
        <f t="shared" si="42"/>
        <v>AWAY</v>
      </c>
      <c r="M543" t="str">
        <f t="shared" si="43"/>
        <v/>
      </c>
      <c r="N543" t="s">
        <v>31</v>
      </c>
      <c r="O543" t="str">
        <f t="shared" si="44"/>
        <v/>
      </c>
    </row>
    <row r="544" spans="1:15" x14ac:dyDescent="0.6">
      <c r="A544">
        <v>20260646</v>
      </c>
      <c r="B544" t="s">
        <v>146</v>
      </c>
      <c r="C544" t="s">
        <v>16</v>
      </c>
      <c r="D544" t="s">
        <v>28</v>
      </c>
      <c r="E544">
        <v>6002</v>
      </c>
      <c r="F544">
        <v>5002</v>
      </c>
      <c r="G544">
        <v>57.82</v>
      </c>
      <c r="H544">
        <v>0.57822462727803803</v>
      </c>
      <c r="I544" t="s">
        <v>143</v>
      </c>
      <c r="J544">
        <f t="shared" si="40"/>
        <v>0.57822462727803803</v>
      </c>
      <c r="K544" t="str">
        <f t="shared" si="41"/>
        <v>55~60</v>
      </c>
      <c r="L544" t="str">
        <f t="shared" si="42"/>
        <v>HOME</v>
      </c>
      <c r="M544">
        <f t="shared" si="43"/>
        <v>0.33434371959082598</v>
      </c>
      <c r="N544">
        <v>0</v>
      </c>
      <c r="O544">
        <f t="shared" si="44"/>
        <v>0</v>
      </c>
    </row>
    <row r="545" spans="1:15" x14ac:dyDescent="0.6">
      <c r="A545">
        <v>20260647</v>
      </c>
      <c r="B545" t="s">
        <v>146</v>
      </c>
      <c r="C545" t="s">
        <v>17</v>
      </c>
      <c r="D545" t="s">
        <v>19</v>
      </c>
      <c r="E545">
        <v>10001</v>
      </c>
      <c r="F545">
        <v>9002</v>
      </c>
      <c r="G545">
        <v>51.95</v>
      </c>
      <c r="H545">
        <v>0.51949989650439921</v>
      </c>
      <c r="I545" t="s">
        <v>143</v>
      </c>
      <c r="J545">
        <f t="shared" si="40"/>
        <v>0.51949989650439921</v>
      </c>
      <c r="K545" t="str">
        <f t="shared" si="41"/>
        <v>50~55</v>
      </c>
      <c r="L545" t="str">
        <f t="shared" si="42"/>
        <v>HOME</v>
      </c>
      <c r="M545">
        <f t="shared" si="43"/>
        <v>0.26988014246808151</v>
      </c>
      <c r="N545">
        <v>0</v>
      </c>
      <c r="O545">
        <f t="shared" si="44"/>
        <v>0</v>
      </c>
    </row>
    <row r="546" spans="1:15" x14ac:dyDescent="0.6">
      <c r="A546">
        <v>20260648</v>
      </c>
      <c r="B546" t="s">
        <v>146</v>
      </c>
      <c r="C546" t="s">
        <v>24</v>
      </c>
      <c r="D546" t="s">
        <v>20</v>
      </c>
      <c r="E546">
        <v>12001</v>
      </c>
      <c r="F546">
        <v>7002</v>
      </c>
      <c r="G546">
        <v>61.95</v>
      </c>
      <c r="H546">
        <v>0.61950227517574541</v>
      </c>
      <c r="I546" t="s">
        <v>143</v>
      </c>
      <c r="J546">
        <f t="shared" si="40"/>
        <v>0.61950227517574541</v>
      </c>
      <c r="K546" t="str">
        <f t="shared" si="41"/>
        <v>60~65</v>
      </c>
      <c r="L546" t="str">
        <f t="shared" si="42"/>
        <v>HOME</v>
      </c>
      <c r="M546">
        <f t="shared" si="43"/>
        <v>0.14477851859643417</v>
      </c>
      <c r="N546">
        <v>1</v>
      </c>
      <c r="O546">
        <f t="shared" si="44"/>
        <v>1</v>
      </c>
    </row>
    <row r="547" spans="1:15" x14ac:dyDescent="0.6">
      <c r="A547">
        <v>20260649</v>
      </c>
      <c r="B547" t="s">
        <v>146</v>
      </c>
      <c r="C547" t="s">
        <v>22</v>
      </c>
      <c r="D547" t="s">
        <v>23</v>
      </c>
      <c r="E547">
        <v>1001</v>
      </c>
      <c r="F547">
        <v>3001</v>
      </c>
      <c r="G547">
        <v>49.29</v>
      </c>
      <c r="H547">
        <v>0.492937356250855</v>
      </c>
      <c r="I547" t="s">
        <v>143</v>
      </c>
      <c r="J547">
        <f t="shared" si="40"/>
        <v>0.507062643749145</v>
      </c>
      <c r="K547" t="str">
        <f t="shared" si="41"/>
        <v>50~55</v>
      </c>
      <c r="L547" t="str">
        <f t="shared" si="42"/>
        <v>AWAY</v>
      </c>
      <c r="M547">
        <f t="shared" si="43"/>
        <v>0.24298723718758233</v>
      </c>
      <c r="N547">
        <v>1</v>
      </c>
      <c r="O547">
        <f t="shared" si="44"/>
        <v>0</v>
      </c>
    </row>
    <row r="548" spans="1:15" x14ac:dyDescent="0.6">
      <c r="A548">
        <v>20260650</v>
      </c>
      <c r="B548" t="s">
        <v>146</v>
      </c>
      <c r="C548" t="s">
        <v>27</v>
      </c>
      <c r="D548" t="s">
        <v>21</v>
      </c>
      <c r="E548">
        <v>11001</v>
      </c>
      <c r="F548">
        <v>2002</v>
      </c>
      <c r="G548">
        <v>42.75</v>
      </c>
      <c r="H548">
        <v>0.42751072950893099</v>
      </c>
      <c r="I548" t="s">
        <v>143</v>
      </c>
      <c r="J548">
        <f t="shared" si="40"/>
        <v>0.57248927049106901</v>
      </c>
      <c r="K548" t="str">
        <f t="shared" si="41"/>
        <v>55~60</v>
      </c>
      <c r="L548" t="str">
        <f t="shared" si="42"/>
        <v>AWAY</v>
      </c>
      <c r="M548">
        <f t="shared" si="43"/>
        <v>0.18276542384525835</v>
      </c>
      <c r="N548">
        <v>1</v>
      </c>
      <c r="O548">
        <f t="shared" si="44"/>
        <v>0</v>
      </c>
    </row>
    <row r="549" spans="1:15" x14ac:dyDescent="0.6">
      <c r="A549">
        <v>20260651</v>
      </c>
      <c r="B549" t="s">
        <v>147</v>
      </c>
      <c r="C549" t="s">
        <v>16</v>
      </c>
      <c r="D549" t="s">
        <v>28</v>
      </c>
      <c r="E549">
        <v>6002</v>
      </c>
      <c r="F549">
        <v>5002</v>
      </c>
      <c r="G549">
        <v>48.76</v>
      </c>
      <c r="H549">
        <v>0.48760946787578702</v>
      </c>
      <c r="I549" t="s">
        <v>148</v>
      </c>
      <c r="J549">
        <v>0.51239053212421304</v>
      </c>
      <c r="K549" t="s">
        <v>149</v>
      </c>
      <c r="L549" t="s">
        <v>150</v>
      </c>
      <c r="M549">
        <f t="shared" si="43"/>
        <v>0.26254405741053422</v>
      </c>
      <c r="N549">
        <v>0</v>
      </c>
      <c r="O549">
        <f t="shared" si="44"/>
        <v>1</v>
      </c>
    </row>
    <row r="550" spans="1:15" x14ac:dyDescent="0.6">
      <c r="A550">
        <v>20260652</v>
      </c>
      <c r="B550" t="s">
        <v>147</v>
      </c>
      <c r="C550" t="s">
        <v>17</v>
      </c>
      <c r="D550" t="s">
        <v>19</v>
      </c>
      <c r="E550">
        <v>10001</v>
      </c>
      <c r="F550">
        <v>9002</v>
      </c>
      <c r="G550">
        <v>46.53</v>
      </c>
      <c r="H550">
        <v>0.46526418907800271</v>
      </c>
      <c r="I550" t="s">
        <v>148</v>
      </c>
      <c r="J550">
        <v>0.53473581092199729</v>
      </c>
      <c r="K550" t="s">
        <v>149</v>
      </c>
      <c r="L550" t="s">
        <v>150</v>
      </c>
      <c r="M550">
        <f t="shared" si="43"/>
        <v>0.28594238748240602</v>
      </c>
      <c r="N550">
        <v>0</v>
      </c>
      <c r="O550">
        <f t="shared" si="44"/>
        <v>1</v>
      </c>
    </row>
    <row r="551" spans="1:15" x14ac:dyDescent="0.6">
      <c r="A551">
        <v>20260653</v>
      </c>
      <c r="B551" t="s">
        <v>147</v>
      </c>
      <c r="C551" t="s">
        <v>24</v>
      </c>
      <c r="D551" t="s">
        <v>20</v>
      </c>
      <c r="E551">
        <v>12001</v>
      </c>
      <c r="F551">
        <v>7002</v>
      </c>
      <c r="G551">
        <v>59.2</v>
      </c>
      <c r="H551">
        <v>0.59199561730260153</v>
      </c>
      <c r="I551" t="s">
        <v>148</v>
      </c>
      <c r="J551">
        <v>0.59199561730260153</v>
      </c>
      <c r="K551" t="s">
        <v>151</v>
      </c>
      <c r="L551" t="s">
        <v>152</v>
      </c>
      <c r="M551">
        <f t="shared" si="43"/>
        <v>0.16646757630028519</v>
      </c>
      <c r="N551">
        <v>1</v>
      </c>
      <c r="O551">
        <f t="shared" si="44"/>
        <v>1</v>
      </c>
    </row>
    <row r="552" spans="1:15" x14ac:dyDescent="0.6">
      <c r="A552">
        <v>20260654</v>
      </c>
      <c r="B552" t="s">
        <v>147</v>
      </c>
      <c r="C552" t="s">
        <v>22</v>
      </c>
      <c r="D552" t="s">
        <v>23</v>
      </c>
      <c r="E552">
        <v>1001</v>
      </c>
      <c r="F552">
        <v>3001</v>
      </c>
      <c r="G552">
        <v>47.11</v>
      </c>
      <c r="H552">
        <v>0.47111570966338318</v>
      </c>
      <c r="I552" t="s">
        <v>148</v>
      </c>
      <c r="J552">
        <v>0.52888429033661677</v>
      </c>
      <c r="K552" t="s">
        <v>149</v>
      </c>
      <c r="L552" t="s">
        <v>150</v>
      </c>
      <c r="M552">
        <f t="shared" si="43"/>
        <v>0.22195001189163321</v>
      </c>
      <c r="N552">
        <v>1</v>
      </c>
      <c r="O552">
        <f t="shared" si="44"/>
        <v>0</v>
      </c>
    </row>
    <row r="553" spans="1:15" x14ac:dyDescent="0.6">
      <c r="A553">
        <v>20260655</v>
      </c>
      <c r="B553" t="s">
        <v>147</v>
      </c>
      <c r="C553" t="s">
        <v>27</v>
      </c>
      <c r="D553" t="s">
        <v>21</v>
      </c>
      <c r="E553">
        <v>11001</v>
      </c>
      <c r="F553">
        <v>2002</v>
      </c>
      <c r="G553">
        <v>46.59</v>
      </c>
      <c r="H553">
        <v>0.46585709608896952</v>
      </c>
      <c r="I553" t="s">
        <v>148</v>
      </c>
      <c r="J553">
        <v>0.53414290391103059</v>
      </c>
      <c r="K553" t="s">
        <v>149</v>
      </c>
      <c r="L553" t="s">
        <v>150</v>
      </c>
      <c r="M553">
        <f t="shared" si="43"/>
        <v>0.21702283397644728</v>
      </c>
      <c r="N553">
        <v>1</v>
      </c>
      <c r="O553">
        <f t="shared" si="44"/>
        <v>0</v>
      </c>
    </row>
    <row r="554" spans="1:15" x14ac:dyDescent="0.6">
      <c r="A554">
        <v>20260656</v>
      </c>
      <c r="B554" t="s">
        <v>153</v>
      </c>
      <c r="C554" t="s">
        <v>16</v>
      </c>
      <c r="D554" t="s">
        <v>28</v>
      </c>
      <c r="E554">
        <v>6002</v>
      </c>
      <c r="F554">
        <v>5002</v>
      </c>
      <c r="G554">
        <v>64.17</v>
      </c>
      <c r="H554">
        <v>0.64168799676540167</v>
      </c>
      <c r="I554" t="s">
        <v>148</v>
      </c>
      <c r="J554">
        <v>0.64168799676540167</v>
      </c>
      <c r="K554" t="s">
        <v>154</v>
      </c>
      <c r="L554" t="s">
        <v>152</v>
      </c>
      <c r="M554" s="5">
        <f t="shared" si="43"/>
        <v>0.41176348519279415</v>
      </c>
      <c r="N554">
        <v>0</v>
      </c>
      <c r="O554">
        <f t="shared" si="44"/>
        <v>0</v>
      </c>
    </row>
    <row r="555" spans="1:15" x14ac:dyDescent="0.6">
      <c r="A555">
        <v>20260657</v>
      </c>
      <c r="B555" t="s">
        <v>153</v>
      </c>
      <c r="C555" t="s">
        <v>17</v>
      </c>
      <c r="D555" t="s">
        <v>19</v>
      </c>
      <c r="E555">
        <v>10001</v>
      </c>
      <c r="F555">
        <v>9002</v>
      </c>
      <c r="G555">
        <v>45.33</v>
      </c>
      <c r="H555">
        <v>0.453283704009109</v>
      </c>
      <c r="I555" t="s">
        <v>148</v>
      </c>
      <c r="J555">
        <v>0.546716295990891</v>
      </c>
      <c r="K555" t="s">
        <v>149</v>
      </c>
      <c r="L555" t="s">
        <v>150</v>
      </c>
      <c r="M555" s="5">
        <f t="shared" si="43"/>
        <v>0.20546611632021755</v>
      </c>
      <c r="N555">
        <v>1</v>
      </c>
      <c r="O555">
        <f t="shared" si="44"/>
        <v>0</v>
      </c>
    </row>
    <row r="556" spans="1:15" x14ac:dyDescent="0.6">
      <c r="A556">
        <v>20260658</v>
      </c>
      <c r="B556" t="s">
        <v>153</v>
      </c>
      <c r="C556" t="s">
        <v>24</v>
      </c>
      <c r="D556" t="s">
        <v>20</v>
      </c>
      <c r="E556">
        <v>12001</v>
      </c>
      <c r="F556">
        <v>7002</v>
      </c>
      <c r="G556">
        <v>61.72</v>
      </c>
      <c r="H556">
        <v>0.61715758342047455</v>
      </c>
      <c r="I556" t="s">
        <v>148</v>
      </c>
      <c r="J556">
        <v>0.61715758342047455</v>
      </c>
      <c r="K556" t="s">
        <v>154</v>
      </c>
      <c r="L556" t="s">
        <v>152</v>
      </c>
      <c r="M556" s="5">
        <f t="shared" si="43"/>
        <v>0.1465683159324509</v>
      </c>
      <c r="N556">
        <v>1</v>
      </c>
      <c r="O556">
        <f t="shared" si="44"/>
        <v>1</v>
      </c>
    </row>
    <row r="557" spans="1:15" x14ac:dyDescent="0.6">
      <c r="A557">
        <v>20260659</v>
      </c>
      <c r="B557" t="s">
        <v>153</v>
      </c>
      <c r="C557" t="s">
        <v>22</v>
      </c>
      <c r="D557" t="s">
        <v>23</v>
      </c>
      <c r="E557">
        <v>1001</v>
      </c>
      <c r="F557">
        <v>3001</v>
      </c>
      <c r="G557">
        <v>55.56</v>
      </c>
      <c r="H557">
        <v>0.55561978697136782</v>
      </c>
      <c r="I557" t="s">
        <v>148</v>
      </c>
      <c r="J557">
        <v>0.55561978697136782</v>
      </c>
      <c r="K557" t="s">
        <v>151</v>
      </c>
      <c r="L557" t="s">
        <v>152</v>
      </c>
      <c r="M557" s="5">
        <f t="shared" si="43"/>
        <v>0.30871334767410819</v>
      </c>
      <c r="N557">
        <v>0</v>
      </c>
      <c r="O557">
        <f t="shared" si="44"/>
        <v>0</v>
      </c>
    </row>
    <row r="558" spans="1:15" x14ac:dyDescent="0.6">
      <c r="A558">
        <v>20260660</v>
      </c>
      <c r="B558" t="s">
        <v>153</v>
      </c>
      <c r="C558" t="s">
        <v>27</v>
      </c>
      <c r="D558" t="s">
        <v>21</v>
      </c>
      <c r="E558">
        <v>11001</v>
      </c>
      <c r="F558">
        <v>2002</v>
      </c>
      <c r="G558">
        <v>45.93</v>
      </c>
      <c r="H558">
        <v>0.45929533874328982</v>
      </c>
      <c r="I558" t="s">
        <v>148</v>
      </c>
      <c r="J558">
        <v>0.54070466125671024</v>
      </c>
      <c r="K558" t="s">
        <v>149</v>
      </c>
      <c r="L558" t="s">
        <v>150</v>
      </c>
      <c r="N558" t="s">
        <v>198</v>
      </c>
      <c r="O558" s="5" t="str">
        <f t="shared" si="44"/>
        <v/>
      </c>
    </row>
    <row r="559" spans="1:15" x14ac:dyDescent="0.6">
      <c r="A559">
        <v>20260661</v>
      </c>
      <c r="B559" t="s">
        <v>155</v>
      </c>
      <c r="C559" t="s">
        <v>28</v>
      </c>
      <c r="D559" t="s">
        <v>22</v>
      </c>
      <c r="E559">
        <v>5002</v>
      </c>
      <c r="F559">
        <v>1001</v>
      </c>
      <c r="G559">
        <v>38.56</v>
      </c>
      <c r="H559">
        <v>0.38564301991921129</v>
      </c>
      <c r="I559" t="s">
        <v>148</v>
      </c>
      <c r="J559">
        <v>0.61435698008078865</v>
      </c>
      <c r="K559" t="s">
        <v>154</v>
      </c>
      <c r="L559" t="s">
        <v>150</v>
      </c>
      <c r="N559">
        <v>1</v>
      </c>
      <c r="O559" s="5">
        <f t="shared" si="44"/>
        <v>0</v>
      </c>
    </row>
    <row r="560" spans="1:15" x14ac:dyDescent="0.6">
      <c r="A560">
        <v>20260662</v>
      </c>
      <c r="B560" t="s">
        <v>155</v>
      </c>
      <c r="C560" t="s">
        <v>17</v>
      </c>
      <c r="D560" t="s">
        <v>27</v>
      </c>
      <c r="E560">
        <v>10001</v>
      </c>
      <c r="F560">
        <v>11001</v>
      </c>
      <c r="G560">
        <v>40.19</v>
      </c>
      <c r="H560">
        <v>0.40193391936003892</v>
      </c>
      <c r="I560" t="s">
        <v>148</v>
      </c>
      <c r="J560">
        <v>0.59806608063996114</v>
      </c>
      <c r="K560" t="s">
        <v>151</v>
      </c>
      <c r="L560" t="s">
        <v>150</v>
      </c>
      <c r="N560">
        <v>0</v>
      </c>
      <c r="O560" s="5">
        <f t="shared" si="44"/>
        <v>1</v>
      </c>
    </row>
    <row r="561" spans="1:15" x14ac:dyDescent="0.6">
      <c r="A561">
        <v>20260663</v>
      </c>
      <c r="B561" t="s">
        <v>155</v>
      </c>
      <c r="C561" t="s">
        <v>19</v>
      </c>
      <c r="D561" t="s">
        <v>16</v>
      </c>
      <c r="E561">
        <v>9002</v>
      </c>
      <c r="F561">
        <v>6002</v>
      </c>
      <c r="G561">
        <v>66.59</v>
      </c>
      <c r="H561">
        <v>0.66588775826658952</v>
      </c>
      <c r="I561" t="s">
        <v>148</v>
      </c>
      <c r="J561">
        <v>0.66588775826658952</v>
      </c>
      <c r="K561" t="s">
        <v>156</v>
      </c>
      <c r="L561" t="s">
        <v>152</v>
      </c>
      <c r="N561">
        <v>1</v>
      </c>
      <c r="O561" s="5">
        <f t="shared" si="44"/>
        <v>1</v>
      </c>
    </row>
    <row r="562" spans="1:15" x14ac:dyDescent="0.6">
      <c r="A562">
        <v>20260664</v>
      </c>
      <c r="B562" t="s">
        <v>155</v>
      </c>
      <c r="C562" t="s">
        <v>21</v>
      </c>
      <c r="D562" t="s">
        <v>24</v>
      </c>
      <c r="E562">
        <v>2002</v>
      </c>
      <c r="F562">
        <v>12001</v>
      </c>
      <c r="G562">
        <v>53.55</v>
      </c>
      <c r="H562">
        <v>0.53545830736991773</v>
      </c>
      <c r="I562" t="s">
        <v>148</v>
      </c>
      <c r="J562">
        <v>0.53545830736991773</v>
      </c>
      <c r="K562" t="s">
        <v>149</v>
      </c>
      <c r="L562" t="s">
        <v>152</v>
      </c>
      <c r="N562">
        <v>1</v>
      </c>
      <c r="O562" s="5">
        <f t="shared" si="44"/>
        <v>1</v>
      </c>
    </row>
    <row r="563" spans="1:15" x14ac:dyDescent="0.6">
      <c r="A563">
        <v>20260665</v>
      </c>
      <c r="B563" t="s">
        <v>155</v>
      </c>
      <c r="C563" t="s">
        <v>23</v>
      </c>
      <c r="D563" t="s">
        <v>20</v>
      </c>
      <c r="E563">
        <v>3001</v>
      </c>
      <c r="F563">
        <v>7002</v>
      </c>
      <c r="G563">
        <v>63.33</v>
      </c>
      <c r="H563">
        <v>0.63329193001804662</v>
      </c>
      <c r="I563" t="s">
        <v>148</v>
      </c>
      <c r="J563">
        <v>0.63329193001804662</v>
      </c>
      <c r="K563" t="s">
        <v>154</v>
      </c>
      <c r="L563" t="s">
        <v>152</v>
      </c>
      <c r="N563">
        <v>0</v>
      </c>
      <c r="O563" s="5">
        <f t="shared" si="44"/>
        <v>0</v>
      </c>
    </row>
    <row r="564" spans="1:15" x14ac:dyDescent="0.6">
      <c r="A564">
        <v>20260666</v>
      </c>
      <c r="B564" t="s">
        <v>157</v>
      </c>
      <c r="C564" t="s">
        <v>28</v>
      </c>
      <c r="D564" t="s">
        <v>22</v>
      </c>
      <c r="E564">
        <v>5002</v>
      </c>
      <c r="F564">
        <v>1001</v>
      </c>
      <c r="G564">
        <v>54.35</v>
      </c>
      <c r="H564">
        <v>0.54347750178705367</v>
      </c>
      <c r="I564" t="s">
        <v>148</v>
      </c>
      <c r="J564">
        <v>0.54347750178705367</v>
      </c>
      <c r="K564" t="s">
        <v>149</v>
      </c>
      <c r="L564" t="s">
        <v>152</v>
      </c>
      <c r="N564">
        <v>0</v>
      </c>
      <c r="O564" s="5">
        <f t="shared" si="44"/>
        <v>0</v>
      </c>
    </row>
    <row r="565" spans="1:15" x14ac:dyDescent="0.6">
      <c r="A565">
        <v>20260667</v>
      </c>
      <c r="B565" t="s">
        <v>157</v>
      </c>
      <c r="C565" t="s">
        <v>17</v>
      </c>
      <c r="D565" t="s">
        <v>27</v>
      </c>
      <c r="E565">
        <v>10001</v>
      </c>
      <c r="F565">
        <v>11001</v>
      </c>
      <c r="G565">
        <v>40.590000000000003</v>
      </c>
      <c r="H565">
        <v>0.40592000776210008</v>
      </c>
      <c r="I565" t="s">
        <v>148</v>
      </c>
      <c r="J565">
        <v>0.59407999223789987</v>
      </c>
      <c r="K565" t="s">
        <v>151</v>
      </c>
      <c r="L565" t="s">
        <v>150</v>
      </c>
      <c r="N565">
        <v>0</v>
      </c>
      <c r="O565" s="5">
        <f t="shared" si="44"/>
        <v>1</v>
      </c>
    </row>
    <row r="566" spans="1:15" x14ac:dyDescent="0.6">
      <c r="A566">
        <v>20260668</v>
      </c>
      <c r="B566" t="s">
        <v>157</v>
      </c>
      <c r="C566" t="s">
        <v>19</v>
      </c>
      <c r="D566" t="s">
        <v>16</v>
      </c>
      <c r="E566">
        <v>9002</v>
      </c>
      <c r="F566">
        <v>6002</v>
      </c>
      <c r="G566">
        <v>43.74</v>
      </c>
      <c r="H566">
        <v>0.43737937699625778</v>
      </c>
      <c r="I566" t="s">
        <v>148</v>
      </c>
      <c r="J566">
        <v>0.56262062300374216</v>
      </c>
      <c r="K566" t="s">
        <v>151</v>
      </c>
      <c r="L566" t="s">
        <v>150</v>
      </c>
      <c r="N566">
        <v>1</v>
      </c>
      <c r="O566" s="5">
        <f t="shared" si="44"/>
        <v>0</v>
      </c>
    </row>
    <row r="567" spans="1:15" x14ac:dyDescent="0.6">
      <c r="A567">
        <v>20260669</v>
      </c>
      <c r="B567" t="s">
        <v>157</v>
      </c>
      <c r="C567" t="s">
        <v>21</v>
      </c>
      <c r="D567" t="s">
        <v>24</v>
      </c>
      <c r="E567">
        <v>2002</v>
      </c>
      <c r="F567">
        <v>12001</v>
      </c>
      <c r="G567">
        <v>42.96</v>
      </c>
      <c r="H567">
        <v>0.42960608736420453</v>
      </c>
      <c r="I567" t="s">
        <v>148</v>
      </c>
      <c r="J567">
        <v>0.57039391263579553</v>
      </c>
      <c r="K567" t="s">
        <v>151</v>
      </c>
      <c r="L567" t="s">
        <v>150</v>
      </c>
      <c r="N567">
        <v>1</v>
      </c>
      <c r="O567" s="5">
        <f t="shared" si="44"/>
        <v>0</v>
      </c>
    </row>
    <row r="568" spans="1:15" x14ac:dyDescent="0.6">
      <c r="A568">
        <v>20260670</v>
      </c>
      <c r="B568" t="s">
        <v>157</v>
      </c>
      <c r="C568" t="s">
        <v>23</v>
      </c>
      <c r="D568" t="s">
        <v>20</v>
      </c>
      <c r="E568">
        <v>3001</v>
      </c>
      <c r="F568">
        <v>7002</v>
      </c>
      <c r="G568">
        <v>55.34</v>
      </c>
      <c r="H568">
        <v>0.55337252135754311</v>
      </c>
      <c r="I568" t="s">
        <v>148</v>
      </c>
      <c r="J568">
        <v>0.55337252135754311</v>
      </c>
      <c r="K568" t="s">
        <v>151</v>
      </c>
      <c r="L568" t="s">
        <v>152</v>
      </c>
      <c r="N568">
        <v>0</v>
      </c>
      <c r="O568" s="5">
        <f t="shared" si="44"/>
        <v>0</v>
      </c>
    </row>
    <row r="569" spans="1:15" x14ac:dyDescent="0.6">
      <c r="A569">
        <v>20260672</v>
      </c>
      <c r="B569" t="s">
        <v>158</v>
      </c>
      <c r="C569" t="s">
        <v>17</v>
      </c>
      <c r="D569" t="s">
        <v>27</v>
      </c>
      <c r="E569">
        <v>10001</v>
      </c>
      <c r="F569">
        <v>11001</v>
      </c>
      <c r="G569">
        <v>46.99</v>
      </c>
      <c r="H569">
        <v>0.46990610925040421</v>
      </c>
      <c r="I569" t="s">
        <v>148</v>
      </c>
      <c r="J569">
        <v>0.53009389074959579</v>
      </c>
      <c r="K569" t="s">
        <v>149</v>
      </c>
      <c r="L569" t="s">
        <v>150</v>
      </c>
      <c r="N569">
        <v>1</v>
      </c>
      <c r="O569" s="5">
        <f t="shared" si="44"/>
        <v>0</v>
      </c>
    </row>
    <row r="570" spans="1:15" x14ac:dyDescent="0.6">
      <c r="A570">
        <v>20260671</v>
      </c>
      <c r="B570" t="s">
        <v>158</v>
      </c>
      <c r="C570" t="s">
        <v>28</v>
      </c>
      <c r="D570" t="s">
        <v>22</v>
      </c>
      <c r="E570">
        <v>5002</v>
      </c>
      <c r="F570">
        <v>1001</v>
      </c>
      <c r="G570">
        <v>43.86</v>
      </c>
      <c r="H570">
        <v>0.43864716261240982</v>
      </c>
      <c r="I570" t="s">
        <v>148</v>
      </c>
      <c r="J570">
        <v>0.56135283738759023</v>
      </c>
      <c r="K570" t="s">
        <v>151</v>
      </c>
      <c r="L570" t="s">
        <v>150</v>
      </c>
      <c r="N570">
        <v>0</v>
      </c>
      <c r="O570" s="5">
        <f t="shared" si="44"/>
        <v>1</v>
      </c>
    </row>
    <row r="571" spans="1:15" x14ac:dyDescent="0.6">
      <c r="A571">
        <v>20260673</v>
      </c>
      <c r="B571" t="s">
        <v>158</v>
      </c>
      <c r="C571" t="s">
        <v>19</v>
      </c>
      <c r="D571" t="s">
        <v>16</v>
      </c>
      <c r="E571">
        <v>9002</v>
      </c>
      <c r="F571">
        <v>6002</v>
      </c>
      <c r="G571">
        <v>44.29</v>
      </c>
      <c r="H571">
        <v>0.44287746679952728</v>
      </c>
      <c r="I571" t="s">
        <v>148</v>
      </c>
      <c r="J571">
        <v>0.55712253320047267</v>
      </c>
      <c r="K571" t="s">
        <v>151</v>
      </c>
      <c r="L571" t="s">
        <v>150</v>
      </c>
      <c r="N571">
        <v>0</v>
      </c>
      <c r="O571" s="5">
        <f t="shared" si="44"/>
        <v>1</v>
      </c>
    </row>
    <row r="572" spans="1:15" x14ac:dyDescent="0.6">
      <c r="A572">
        <v>20260674</v>
      </c>
      <c r="B572" t="s">
        <v>158</v>
      </c>
      <c r="C572" t="s">
        <v>21</v>
      </c>
      <c r="D572" t="s">
        <v>24</v>
      </c>
      <c r="E572">
        <v>2002</v>
      </c>
      <c r="F572">
        <v>12001</v>
      </c>
      <c r="G572">
        <v>42.06</v>
      </c>
      <c r="H572">
        <v>0.42055517307332457</v>
      </c>
      <c r="I572" t="s">
        <v>148</v>
      </c>
      <c r="J572">
        <v>0.57944482692667543</v>
      </c>
      <c r="K572" t="s">
        <v>151</v>
      </c>
      <c r="L572" t="s">
        <v>150</v>
      </c>
      <c r="N572">
        <v>1</v>
      </c>
      <c r="O572" s="5">
        <f t="shared" si="44"/>
        <v>0</v>
      </c>
    </row>
    <row r="573" spans="1:15" x14ac:dyDescent="0.6">
      <c r="A573">
        <v>20260675</v>
      </c>
      <c r="B573" t="s">
        <v>158</v>
      </c>
      <c r="C573" t="s">
        <v>23</v>
      </c>
      <c r="D573" t="s">
        <v>20</v>
      </c>
      <c r="E573">
        <v>3001</v>
      </c>
      <c r="F573">
        <v>7002</v>
      </c>
      <c r="G573">
        <v>50.85</v>
      </c>
      <c r="H573">
        <v>0.50849161791517905</v>
      </c>
      <c r="I573" t="s">
        <v>148</v>
      </c>
      <c r="J573">
        <v>0.50849161791517905</v>
      </c>
      <c r="K573" t="s">
        <v>149</v>
      </c>
      <c r="L573" t="s">
        <v>152</v>
      </c>
      <c r="N573">
        <v>0</v>
      </c>
      <c r="O573" s="5">
        <f t="shared" si="44"/>
        <v>0</v>
      </c>
    </row>
    <row r="574" spans="1:15" x14ac:dyDescent="0.6">
      <c r="A574">
        <v>20260915</v>
      </c>
      <c r="B574" t="s">
        <v>159</v>
      </c>
      <c r="C574" t="s">
        <v>28</v>
      </c>
      <c r="D574" t="s">
        <v>17</v>
      </c>
      <c r="E574">
        <v>5002</v>
      </c>
      <c r="F574">
        <v>10001</v>
      </c>
      <c r="G574">
        <v>55.84</v>
      </c>
      <c r="H574">
        <v>0.55835347297672988</v>
      </c>
      <c r="I574" t="s">
        <v>148</v>
      </c>
      <c r="J574">
        <v>0.55835347297672988</v>
      </c>
      <c r="K574" t="s">
        <v>151</v>
      </c>
      <c r="L574" t="s">
        <v>152</v>
      </c>
      <c r="N574">
        <v>0</v>
      </c>
      <c r="O574" s="5">
        <f t="shared" si="44"/>
        <v>0</v>
      </c>
    </row>
    <row r="575" spans="1:15" x14ac:dyDescent="0.6">
      <c r="A575">
        <v>20260916</v>
      </c>
      <c r="B575" t="s">
        <v>159</v>
      </c>
      <c r="C575" t="s">
        <v>24</v>
      </c>
      <c r="D575" t="s">
        <v>19</v>
      </c>
      <c r="E575">
        <v>12001</v>
      </c>
      <c r="F575">
        <v>9002</v>
      </c>
      <c r="G575">
        <v>58.6</v>
      </c>
      <c r="H575">
        <v>0.58604623714879422</v>
      </c>
      <c r="I575" t="s">
        <v>148</v>
      </c>
      <c r="J575">
        <v>0.58604623714879422</v>
      </c>
      <c r="K575" t="s">
        <v>151</v>
      </c>
      <c r="L575" t="s">
        <v>152</v>
      </c>
      <c r="N575">
        <v>1</v>
      </c>
      <c r="O575" s="5">
        <f t="shared" si="44"/>
        <v>1</v>
      </c>
    </row>
    <row r="576" spans="1:15" x14ac:dyDescent="0.6">
      <c r="A576">
        <v>20260917</v>
      </c>
      <c r="B576" t="s">
        <v>159</v>
      </c>
      <c r="C576" t="s">
        <v>20</v>
      </c>
      <c r="D576" t="s">
        <v>16</v>
      </c>
      <c r="E576">
        <v>7002</v>
      </c>
      <c r="F576">
        <v>6002</v>
      </c>
      <c r="G576">
        <v>57.25</v>
      </c>
      <c r="H576">
        <v>0.57251163228402047</v>
      </c>
      <c r="I576" t="s">
        <v>148</v>
      </c>
      <c r="J576">
        <v>0.57251163228402047</v>
      </c>
      <c r="K576" t="s">
        <v>151</v>
      </c>
      <c r="L576" t="s">
        <v>152</v>
      </c>
      <c r="N576">
        <v>1</v>
      </c>
      <c r="O576" s="5">
        <f t="shared" si="44"/>
        <v>1</v>
      </c>
    </row>
    <row r="577" spans="1:15" x14ac:dyDescent="0.6">
      <c r="A577">
        <v>20260918</v>
      </c>
      <c r="B577" t="s">
        <v>159</v>
      </c>
      <c r="C577" t="s">
        <v>22</v>
      </c>
      <c r="D577" t="s">
        <v>21</v>
      </c>
      <c r="E577">
        <v>1001</v>
      </c>
      <c r="F577">
        <v>2002</v>
      </c>
      <c r="G577">
        <v>51.28</v>
      </c>
      <c r="H577">
        <v>0.51283094307451327</v>
      </c>
      <c r="I577" t="s">
        <v>148</v>
      </c>
      <c r="J577">
        <v>0.51283094307451327</v>
      </c>
      <c r="K577" t="s">
        <v>149</v>
      </c>
      <c r="L577" t="s">
        <v>152</v>
      </c>
      <c r="N577">
        <v>1</v>
      </c>
      <c r="O577" s="5">
        <f t="shared" si="44"/>
        <v>1</v>
      </c>
    </row>
    <row r="578" spans="1:15" x14ac:dyDescent="0.6">
      <c r="A578">
        <v>20260919</v>
      </c>
      <c r="B578" t="s">
        <v>159</v>
      </c>
      <c r="C578" t="s">
        <v>27</v>
      </c>
      <c r="D578" t="s">
        <v>23</v>
      </c>
      <c r="E578">
        <v>11001</v>
      </c>
      <c r="F578">
        <v>3001</v>
      </c>
      <c r="G578">
        <v>51.51</v>
      </c>
      <c r="H578">
        <v>0.51512071470137921</v>
      </c>
      <c r="I578" t="s">
        <v>148</v>
      </c>
      <c r="J578">
        <v>0.51512071470137921</v>
      </c>
      <c r="K578" t="s">
        <v>149</v>
      </c>
      <c r="L578" t="s">
        <v>152</v>
      </c>
      <c r="N578">
        <v>0</v>
      </c>
      <c r="O578" s="5">
        <f t="shared" ref="O578:O641" si="45">IF(AND(N578&lt;&gt;"", OR(N578=0, N578=1)), IF(ROUND(H578,0)=N578, 1, 0), "")</f>
        <v>0</v>
      </c>
    </row>
    <row r="579" spans="1:15" x14ac:dyDescent="0.6">
      <c r="A579">
        <v>20260920</v>
      </c>
      <c r="B579" t="s">
        <v>160</v>
      </c>
      <c r="C579" t="s">
        <v>16</v>
      </c>
      <c r="D579" t="s">
        <v>19</v>
      </c>
      <c r="E579">
        <v>6002</v>
      </c>
      <c r="F579">
        <v>9002</v>
      </c>
      <c r="G579">
        <v>68.739999999999995</v>
      </c>
      <c r="H579">
        <v>0.68736361670910051</v>
      </c>
      <c r="I579" t="s">
        <v>148</v>
      </c>
      <c r="J579">
        <v>0.68736361670910051</v>
      </c>
      <c r="K579" t="s">
        <v>156</v>
      </c>
      <c r="L579" t="s">
        <v>152</v>
      </c>
      <c r="N579">
        <v>0</v>
      </c>
      <c r="O579" s="5">
        <f t="shared" si="45"/>
        <v>0</v>
      </c>
    </row>
    <row r="580" spans="1:15" x14ac:dyDescent="0.6">
      <c r="A580">
        <v>20260921</v>
      </c>
      <c r="B580" t="s">
        <v>160</v>
      </c>
      <c r="C580" t="s">
        <v>20</v>
      </c>
      <c r="D580" t="s">
        <v>28</v>
      </c>
      <c r="E580">
        <v>7002</v>
      </c>
      <c r="F580">
        <v>5002</v>
      </c>
      <c r="G580">
        <v>44.66</v>
      </c>
      <c r="H580">
        <v>0.44662882195453352</v>
      </c>
      <c r="I580" t="s">
        <v>148</v>
      </c>
      <c r="J580">
        <v>0.55337117804546654</v>
      </c>
      <c r="K580" t="s">
        <v>151</v>
      </c>
      <c r="L580" t="s">
        <v>150</v>
      </c>
      <c r="N580">
        <v>1</v>
      </c>
      <c r="O580" s="5">
        <f t="shared" si="45"/>
        <v>0</v>
      </c>
    </row>
    <row r="581" spans="1:15" x14ac:dyDescent="0.6">
      <c r="A581">
        <v>20260922</v>
      </c>
      <c r="B581" t="s">
        <v>160</v>
      </c>
      <c r="C581" t="s">
        <v>22</v>
      </c>
      <c r="D581" t="s">
        <v>24</v>
      </c>
      <c r="E581">
        <v>1001</v>
      </c>
      <c r="F581">
        <v>12001</v>
      </c>
      <c r="G581">
        <v>47.59</v>
      </c>
      <c r="H581">
        <v>0.47592722953984318</v>
      </c>
      <c r="I581" t="s">
        <v>148</v>
      </c>
      <c r="J581">
        <v>0.52407277046015677</v>
      </c>
      <c r="K581" t="s">
        <v>149</v>
      </c>
      <c r="L581" t="s">
        <v>150</v>
      </c>
      <c r="N581">
        <v>0</v>
      </c>
      <c r="O581" s="5">
        <f t="shared" si="45"/>
        <v>1</v>
      </c>
    </row>
    <row r="582" spans="1:15" x14ac:dyDescent="0.6">
      <c r="A582">
        <v>20260923</v>
      </c>
      <c r="B582" t="s">
        <v>160</v>
      </c>
      <c r="C582" t="s">
        <v>21</v>
      </c>
      <c r="D582" t="s">
        <v>27</v>
      </c>
      <c r="E582">
        <v>2002</v>
      </c>
      <c r="F582">
        <v>11001</v>
      </c>
      <c r="G582">
        <v>50.93</v>
      </c>
      <c r="H582">
        <v>0.50933115693633413</v>
      </c>
      <c r="I582" t="s">
        <v>148</v>
      </c>
      <c r="J582">
        <v>0.50933115693633413</v>
      </c>
      <c r="K582" t="s">
        <v>149</v>
      </c>
      <c r="L582" t="s">
        <v>152</v>
      </c>
      <c r="N582">
        <v>0</v>
      </c>
      <c r="O582" s="5">
        <f t="shared" si="45"/>
        <v>0</v>
      </c>
    </row>
    <row r="583" spans="1:15" x14ac:dyDescent="0.6">
      <c r="A583">
        <v>20260924</v>
      </c>
      <c r="B583" t="s">
        <v>161</v>
      </c>
      <c r="C583" t="s">
        <v>19</v>
      </c>
      <c r="D583" t="s">
        <v>20</v>
      </c>
      <c r="E583">
        <v>9002</v>
      </c>
      <c r="F583">
        <v>7002</v>
      </c>
      <c r="G583">
        <v>68.83</v>
      </c>
      <c r="H583">
        <v>0.68829721310434433</v>
      </c>
      <c r="I583" t="s">
        <v>148</v>
      </c>
      <c r="J583">
        <v>0.68829721310434433</v>
      </c>
      <c r="K583" t="s">
        <v>156</v>
      </c>
      <c r="L583" t="s">
        <v>152</v>
      </c>
      <c r="N583">
        <v>1</v>
      </c>
      <c r="O583" s="5">
        <f t="shared" si="45"/>
        <v>1</v>
      </c>
    </row>
    <row r="584" spans="1:15" x14ac:dyDescent="0.6">
      <c r="A584">
        <v>20260925</v>
      </c>
      <c r="B584" t="s">
        <v>161</v>
      </c>
      <c r="C584" t="s">
        <v>21</v>
      </c>
      <c r="D584" t="s">
        <v>27</v>
      </c>
      <c r="E584">
        <v>2002</v>
      </c>
      <c r="F584">
        <v>11001</v>
      </c>
      <c r="G584">
        <v>46.54</v>
      </c>
      <c r="H584">
        <v>0.46538220445612261</v>
      </c>
      <c r="I584" t="s">
        <v>148</v>
      </c>
      <c r="J584">
        <v>0.53461779554387745</v>
      </c>
      <c r="K584" t="s">
        <v>149</v>
      </c>
      <c r="L584" t="s">
        <v>150</v>
      </c>
      <c r="N584">
        <v>0</v>
      </c>
      <c r="O584" s="5">
        <f t="shared" si="45"/>
        <v>1</v>
      </c>
    </row>
    <row r="585" spans="1:15" x14ac:dyDescent="0.6">
      <c r="A585">
        <v>20260926</v>
      </c>
      <c r="B585" t="s">
        <v>161</v>
      </c>
      <c r="C585" t="s">
        <v>23</v>
      </c>
      <c r="D585" t="s">
        <v>24</v>
      </c>
      <c r="E585">
        <v>3001</v>
      </c>
      <c r="F585">
        <v>12001</v>
      </c>
      <c r="G585">
        <v>48.32</v>
      </c>
      <c r="H585">
        <v>0.48319699909166858</v>
      </c>
      <c r="I585" t="s">
        <v>148</v>
      </c>
      <c r="J585">
        <v>0.51680300090833131</v>
      </c>
      <c r="K585" t="s">
        <v>149</v>
      </c>
      <c r="L585" t="s">
        <v>150</v>
      </c>
      <c r="N585">
        <v>0</v>
      </c>
      <c r="O585" s="5">
        <f t="shared" si="45"/>
        <v>1</v>
      </c>
    </row>
    <row r="586" spans="1:15" x14ac:dyDescent="0.6">
      <c r="A586">
        <v>20261021</v>
      </c>
      <c r="B586" t="s">
        <v>161</v>
      </c>
      <c r="C586" t="s">
        <v>16</v>
      </c>
      <c r="D586" t="s">
        <v>17</v>
      </c>
      <c r="E586">
        <v>6002</v>
      </c>
      <c r="F586">
        <v>10001</v>
      </c>
      <c r="G586">
        <v>61.58</v>
      </c>
      <c r="H586">
        <v>0.61575818650708158</v>
      </c>
      <c r="I586" t="s">
        <v>148</v>
      </c>
      <c r="J586">
        <v>0.61575818650708158</v>
      </c>
      <c r="K586" t="s">
        <v>154</v>
      </c>
      <c r="L586" t="s">
        <v>152</v>
      </c>
      <c r="N586">
        <v>1</v>
      </c>
      <c r="O586" s="5">
        <f t="shared" si="45"/>
        <v>1</v>
      </c>
    </row>
    <row r="587" spans="1:15" x14ac:dyDescent="0.6">
      <c r="A587">
        <v>20260938</v>
      </c>
      <c r="B587" t="s">
        <v>162</v>
      </c>
      <c r="C587" t="s">
        <v>19</v>
      </c>
      <c r="D587" t="s">
        <v>21</v>
      </c>
      <c r="E587">
        <v>9002</v>
      </c>
      <c r="F587">
        <v>2002</v>
      </c>
      <c r="G587">
        <v>56.74</v>
      </c>
      <c r="H587">
        <v>0.56738590165512925</v>
      </c>
      <c r="I587" t="s">
        <v>148</v>
      </c>
      <c r="J587">
        <v>0.56738590165512925</v>
      </c>
      <c r="K587" t="s">
        <v>151</v>
      </c>
      <c r="L587" t="s">
        <v>152</v>
      </c>
      <c r="N587">
        <v>1</v>
      </c>
      <c r="O587" s="5">
        <f t="shared" si="45"/>
        <v>1</v>
      </c>
    </row>
    <row r="588" spans="1:15" x14ac:dyDescent="0.6">
      <c r="A588">
        <v>20260939</v>
      </c>
      <c r="B588" t="s">
        <v>162</v>
      </c>
      <c r="C588" t="s">
        <v>20</v>
      </c>
      <c r="D588" t="s">
        <v>24</v>
      </c>
      <c r="E588">
        <v>7002</v>
      </c>
      <c r="F588">
        <v>12001</v>
      </c>
      <c r="G588">
        <v>40.14</v>
      </c>
      <c r="H588">
        <v>0.40136196525811052</v>
      </c>
      <c r="I588" t="s">
        <v>148</v>
      </c>
      <c r="J588">
        <v>0.59863803474188948</v>
      </c>
      <c r="K588" t="s">
        <v>151</v>
      </c>
      <c r="L588" t="s">
        <v>150</v>
      </c>
      <c r="N588">
        <v>0</v>
      </c>
      <c r="O588" s="5">
        <f t="shared" si="45"/>
        <v>1</v>
      </c>
    </row>
    <row r="589" spans="1:15" x14ac:dyDescent="0.6">
      <c r="A589">
        <v>20260940</v>
      </c>
      <c r="B589" t="s">
        <v>162</v>
      </c>
      <c r="C589" t="s">
        <v>22</v>
      </c>
      <c r="D589" t="s">
        <v>23</v>
      </c>
      <c r="E589">
        <v>1001</v>
      </c>
      <c r="F589">
        <v>3001</v>
      </c>
      <c r="G589">
        <v>57.05</v>
      </c>
      <c r="H589">
        <v>0.57053386641145087</v>
      </c>
      <c r="I589" t="s">
        <v>148</v>
      </c>
      <c r="J589">
        <v>0.57053386641145087</v>
      </c>
      <c r="K589" t="s">
        <v>151</v>
      </c>
      <c r="L589" t="s">
        <v>152</v>
      </c>
      <c r="N589">
        <v>1</v>
      </c>
      <c r="O589" s="5">
        <f t="shared" si="45"/>
        <v>1</v>
      </c>
    </row>
    <row r="590" spans="1:15" x14ac:dyDescent="0.6">
      <c r="A590">
        <v>20260941</v>
      </c>
      <c r="B590" t="s">
        <v>162</v>
      </c>
      <c r="C590" t="s">
        <v>27</v>
      </c>
      <c r="D590" t="s">
        <v>28</v>
      </c>
      <c r="E590">
        <v>11001</v>
      </c>
      <c r="F590">
        <v>5002</v>
      </c>
      <c r="G590">
        <v>46.42</v>
      </c>
      <c r="H590">
        <v>0.46421580806545543</v>
      </c>
      <c r="I590" t="s">
        <v>148</v>
      </c>
      <c r="J590">
        <v>0.53578419193454463</v>
      </c>
      <c r="K590" t="s">
        <v>149</v>
      </c>
      <c r="L590" t="s">
        <v>150</v>
      </c>
      <c r="N590">
        <v>0</v>
      </c>
      <c r="O590" s="5">
        <f t="shared" si="45"/>
        <v>1</v>
      </c>
    </row>
    <row r="591" spans="1:15" x14ac:dyDescent="0.6">
      <c r="A591">
        <v>20260942</v>
      </c>
      <c r="B591" t="s">
        <v>163</v>
      </c>
      <c r="C591" t="s">
        <v>16</v>
      </c>
      <c r="D591" t="s">
        <v>22</v>
      </c>
      <c r="E591">
        <v>6002</v>
      </c>
      <c r="F591">
        <v>1001</v>
      </c>
      <c r="G591">
        <v>47.2</v>
      </c>
      <c r="H591">
        <v>0.47202595238772049</v>
      </c>
      <c r="I591" t="s">
        <v>148</v>
      </c>
      <c r="J591">
        <v>0.52797404761227951</v>
      </c>
      <c r="K591" t="s">
        <v>149</v>
      </c>
      <c r="L591" t="s">
        <v>150</v>
      </c>
      <c r="N591">
        <v>1</v>
      </c>
      <c r="O591" s="5">
        <f t="shared" si="45"/>
        <v>0</v>
      </c>
    </row>
    <row r="592" spans="1:15" x14ac:dyDescent="0.6">
      <c r="A592">
        <v>20260943</v>
      </c>
      <c r="B592" t="s">
        <v>163</v>
      </c>
      <c r="C592" t="s">
        <v>20</v>
      </c>
      <c r="D592" t="s">
        <v>24</v>
      </c>
      <c r="E592">
        <v>7002</v>
      </c>
      <c r="F592">
        <v>12001</v>
      </c>
      <c r="G592">
        <v>44.77</v>
      </c>
      <c r="H592">
        <v>0.44773272775630912</v>
      </c>
      <c r="I592" t="s">
        <v>148</v>
      </c>
      <c r="J592">
        <v>0.55226727224369088</v>
      </c>
      <c r="K592" t="s">
        <v>151</v>
      </c>
      <c r="L592" t="s">
        <v>150</v>
      </c>
      <c r="N592" t="s">
        <v>199</v>
      </c>
      <c r="O592" s="5" t="str">
        <f t="shared" si="45"/>
        <v/>
      </c>
    </row>
    <row r="593" spans="1:15" x14ac:dyDescent="0.6">
      <c r="A593">
        <v>20260944</v>
      </c>
      <c r="B593" t="s">
        <v>163</v>
      </c>
      <c r="C593" t="s">
        <v>23</v>
      </c>
      <c r="D593" t="s">
        <v>19</v>
      </c>
      <c r="E593">
        <v>3001</v>
      </c>
      <c r="F593">
        <v>9002</v>
      </c>
      <c r="G593">
        <v>33.08</v>
      </c>
      <c r="H593">
        <v>0.33082261002666191</v>
      </c>
      <c r="I593" t="s">
        <v>148</v>
      </c>
      <c r="J593">
        <v>0.66917738997333809</v>
      </c>
      <c r="K593" t="s">
        <v>156</v>
      </c>
      <c r="L593" t="s">
        <v>150</v>
      </c>
      <c r="N593">
        <v>0</v>
      </c>
      <c r="O593" s="5">
        <f t="shared" si="45"/>
        <v>1</v>
      </c>
    </row>
    <row r="594" spans="1:15" x14ac:dyDescent="0.6">
      <c r="A594">
        <v>20260945</v>
      </c>
      <c r="B594" t="s">
        <v>163</v>
      </c>
      <c r="C594" t="s">
        <v>27</v>
      </c>
      <c r="D594" t="s">
        <v>28</v>
      </c>
      <c r="E594">
        <v>11001</v>
      </c>
      <c r="F594">
        <v>5002</v>
      </c>
      <c r="G594">
        <v>45.12</v>
      </c>
      <c r="H594">
        <v>0.45115064475846528</v>
      </c>
      <c r="I594" t="s">
        <v>148</v>
      </c>
      <c r="J594">
        <v>0.54884935524153466</v>
      </c>
      <c r="K594" t="s">
        <v>149</v>
      </c>
      <c r="L594" t="s">
        <v>150</v>
      </c>
      <c r="N594">
        <v>0</v>
      </c>
      <c r="O594" s="5">
        <f t="shared" si="45"/>
        <v>1</v>
      </c>
    </row>
    <row r="595" spans="1:15" x14ac:dyDescent="0.6">
      <c r="A595">
        <v>20260946</v>
      </c>
      <c r="B595" t="s">
        <v>164</v>
      </c>
      <c r="C595" t="s">
        <v>21</v>
      </c>
      <c r="D595" t="s">
        <v>17</v>
      </c>
      <c r="E595">
        <v>2002</v>
      </c>
      <c r="F595">
        <v>10001</v>
      </c>
      <c r="G595">
        <v>58.22</v>
      </c>
      <c r="H595">
        <v>0.58224253924424885</v>
      </c>
      <c r="I595" t="s">
        <v>148</v>
      </c>
      <c r="J595">
        <v>0.58224253924424885</v>
      </c>
      <c r="K595" t="s">
        <v>151</v>
      </c>
      <c r="L595" t="s">
        <v>152</v>
      </c>
      <c r="N595">
        <v>1</v>
      </c>
      <c r="O595" s="5">
        <f t="shared" si="45"/>
        <v>1</v>
      </c>
    </row>
    <row r="596" spans="1:15" x14ac:dyDescent="0.6">
      <c r="A596">
        <v>20260947</v>
      </c>
      <c r="B596" t="s">
        <v>164</v>
      </c>
      <c r="C596" t="s">
        <v>27</v>
      </c>
      <c r="D596" t="s">
        <v>19</v>
      </c>
      <c r="E596">
        <v>11001</v>
      </c>
      <c r="F596">
        <v>9002</v>
      </c>
      <c r="G596">
        <v>61.33</v>
      </c>
      <c r="H596">
        <v>0.61333142061369506</v>
      </c>
      <c r="I596" t="s">
        <v>148</v>
      </c>
      <c r="J596">
        <v>0.61333142061369506</v>
      </c>
      <c r="K596" t="s">
        <v>154</v>
      </c>
      <c r="L596" t="s">
        <v>152</v>
      </c>
      <c r="N596">
        <v>0</v>
      </c>
      <c r="O596" s="5">
        <f t="shared" si="45"/>
        <v>0</v>
      </c>
    </row>
    <row r="597" spans="1:15" x14ac:dyDescent="0.6">
      <c r="A597">
        <v>20260948</v>
      </c>
      <c r="B597" t="s">
        <v>165</v>
      </c>
      <c r="C597" t="s">
        <v>16</v>
      </c>
      <c r="D597" t="s">
        <v>17</v>
      </c>
      <c r="E597">
        <v>6002</v>
      </c>
      <c r="F597">
        <v>10001</v>
      </c>
      <c r="G597">
        <v>46.72</v>
      </c>
      <c r="H597">
        <v>0.46724184798330548</v>
      </c>
      <c r="I597" t="s">
        <v>148</v>
      </c>
      <c r="J597">
        <v>0.53275815201669441</v>
      </c>
      <c r="K597" t="s">
        <v>149</v>
      </c>
      <c r="L597" t="s">
        <v>150</v>
      </c>
      <c r="N597" t="s">
        <v>199</v>
      </c>
      <c r="O597" s="5" t="str">
        <f t="shared" si="45"/>
        <v/>
      </c>
    </row>
    <row r="598" spans="1:15" x14ac:dyDescent="0.6">
      <c r="A598">
        <v>20260949</v>
      </c>
      <c r="B598" t="s">
        <v>165</v>
      </c>
      <c r="C598" t="s">
        <v>24</v>
      </c>
      <c r="D598" t="s">
        <v>28</v>
      </c>
      <c r="E598">
        <v>12001</v>
      </c>
      <c r="F598">
        <v>5002</v>
      </c>
      <c r="G598">
        <v>57.78</v>
      </c>
      <c r="H598">
        <v>0.5777976097401607</v>
      </c>
      <c r="I598" t="s">
        <v>148</v>
      </c>
      <c r="J598">
        <v>0.5777976097401607</v>
      </c>
      <c r="K598" t="s">
        <v>151</v>
      </c>
      <c r="L598" t="s">
        <v>152</v>
      </c>
      <c r="N598">
        <v>0</v>
      </c>
      <c r="O598" s="5">
        <f t="shared" si="45"/>
        <v>0</v>
      </c>
    </row>
    <row r="599" spans="1:15" x14ac:dyDescent="0.6">
      <c r="A599">
        <v>20260950</v>
      </c>
      <c r="B599" t="s">
        <v>165</v>
      </c>
      <c r="C599" t="s">
        <v>20</v>
      </c>
      <c r="D599" t="s">
        <v>22</v>
      </c>
      <c r="E599">
        <v>7002</v>
      </c>
      <c r="F599">
        <v>1001</v>
      </c>
      <c r="G599">
        <v>37.42</v>
      </c>
      <c r="H599">
        <v>0.37416044322719122</v>
      </c>
      <c r="I599" t="s">
        <v>148</v>
      </c>
      <c r="J599">
        <v>0.62583955677280878</v>
      </c>
      <c r="K599" t="s">
        <v>154</v>
      </c>
      <c r="L599" t="s">
        <v>150</v>
      </c>
      <c r="N599">
        <v>0</v>
      </c>
      <c r="O599" s="5">
        <f t="shared" si="45"/>
        <v>1</v>
      </c>
    </row>
    <row r="600" spans="1:15" x14ac:dyDescent="0.6">
      <c r="A600">
        <v>20260951</v>
      </c>
      <c r="B600" t="s">
        <v>165</v>
      </c>
      <c r="C600" t="s">
        <v>23</v>
      </c>
      <c r="D600" t="s">
        <v>27</v>
      </c>
      <c r="E600">
        <v>3001</v>
      </c>
      <c r="F600">
        <v>11001</v>
      </c>
      <c r="G600">
        <v>57.97</v>
      </c>
      <c r="H600">
        <v>0.5797454689886048</v>
      </c>
      <c r="I600" t="s">
        <v>148</v>
      </c>
      <c r="J600">
        <v>0.5797454689886048</v>
      </c>
      <c r="K600" t="s">
        <v>151</v>
      </c>
      <c r="L600" t="s">
        <v>152</v>
      </c>
      <c r="N600">
        <v>1</v>
      </c>
      <c r="O600" s="5">
        <f t="shared" si="45"/>
        <v>1</v>
      </c>
    </row>
    <row r="601" spans="1:15" x14ac:dyDescent="0.6">
      <c r="A601">
        <v>20260952</v>
      </c>
      <c r="B601" t="s">
        <v>166</v>
      </c>
      <c r="C601" t="s">
        <v>28</v>
      </c>
      <c r="D601" t="s">
        <v>20</v>
      </c>
      <c r="E601">
        <v>5002</v>
      </c>
      <c r="F601">
        <v>7002</v>
      </c>
      <c r="G601">
        <v>49.05</v>
      </c>
      <c r="H601">
        <v>0.49045147778569947</v>
      </c>
      <c r="I601" t="s">
        <v>148</v>
      </c>
      <c r="J601">
        <v>0.50954852221430047</v>
      </c>
      <c r="K601" t="s">
        <v>149</v>
      </c>
      <c r="L601" t="s">
        <v>150</v>
      </c>
      <c r="N601">
        <v>1</v>
      </c>
      <c r="O601" s="5">
        <f t="shared" si="45"/>
        <v>0</v>
      </c>
    </row>
    <row r="602" spans="1:15" x14ac:dyDescent="0.6">
      <c r="A602">
        <v>20260953</v>
      </c>
      <c r="B602" t="s">
        <v>166</v>
      </c>
      <c r="C602" t="s">
        <v>24</v>
      </c>
      <c r="D602" t="s">
        <v>16</v>
      </c>
      <c r="E602">
        <v>12001</v>
      </c>
      <c r="F602">
        <v>6002</v>
      </c>
      <c r="G602">
        <v>64.5</v>
      </c>
      <c r="H602">
        <v>0.64497972470517229</v>
      </c>
      <c r="I602" t="s">
        <v>148</v>
      </c>
      <c r="J602">
        <v>0.64497972470517229</v>
      </c>
      <c r="K602" t="s">
        <v>154</v>
      </c>
      <c r="L602" t="s">
        <v>152</v>
      </c>
      <c r="N602">
        <v>1</v>
      </c>
      <c r="O602" s="5">
        <f t="shared" si="45"/>
        <v>1</v>
      </c>
    </row>
    <row r="603" spans="1:15" x14ac:dyDescent="0.6">
      <c r="A603">
        <v>20260954</v>
      </c>
      <c r="B603" t="s">
        <v>166</v>
      </c>
      <c r="C603" t="s">
        <v>23</v>
      </c>
      <c r="D603" t="s">
        <v>22</v>
      </c>
      <c r="E603">
        <v>3001</v>
      </c>
      <c r="F603">
        <v>1001</v>
      </c>
      <c r="G603">
        <v>48.64</v>
      </c>
      <c r="H603">
        <v>0.48635463353333153</v>
      </c>
      <c r="I603" t="s">
        <v>148</v>
      </c>
      <c r="J603">
        <v>0.51364536646666847</v>
      </c>
      <c r="K603" t="s">
        <v>149</v>
      </c>
      <c r="L603" t="s">
        <v>150</v>
      </c>
      <c r="N603">
        <v>1</v>
      </c>
      <c r="O603" s="5">
        <f t="shared" si="45"/>
        <v>0</v>
      </c>
    </row>
    <row r="604" spans="1:15" x14ac:dyDescent="0.6">
      <c r="A604">
        <v>20260955</v>
      </c>
      <c r="B604" t="s">
        <v>166</v>
      </c>
      <c r="C604" t="s">
        <v>27</v>
      </c>
      <c r="D604" t="s">
        <v>21</v>
      </c>
      <c r="E604">
        <v>11001</v>
      </c>
      <c r="F604">
        <v>2002</v>
      </c>
      <c r="G604">
        <v>41.64</v>
      </c>
      <c r="H604">
        <v>0.41639555630612068</v>
      </c>
      <c r="I604" t="s">
        <v>148</v>
      </c>
      <c r="J604">
        <v>0.5836044436938792</v>
      </c>
      <c r="K604" t="s">
        <v>151</v>
      </c>
      <c r="L604" t="s">
        <v>150</v>
      </c>
      <c r="N604">
        <v>0</v>
      </c>
      <c r="O604" s="5">
        <f t="shared" si="45"/>
        <v>1</v>
      </c>
    </row>
    <row r="605" spans="1:15" x14ac:dyDescent="0.6">
      <c r="A605">
        <v>20260961</v>
      </c>
      <c r="B605" t="s">
        <v>167</v>
      </c>
      <c r="C605" t="s">
        <v>17</v>
      </c>
      <c r="D605" t="s">
        <v>16</v>
      </c>
      <c r="E605">
        <v>10001</v>
      </c>
      <c r="F605">
        <v>6002</v>
      </c>
      <c r="G605">
        <v>35.61</v>
      </c>
      <c r="H605">
        <v>0.35611896788688158</v>
      </c>
      <c r="I605" t="s">
        <v>148</v>
      </c>
      <c r="J605">
        <v>0.64388103211311842</v>
      </c>
      <c r="K605" t="s">
        <v>154</v>
      </c>
      <c r="L605" t="s">
        <v>150</v>
      </c>
      <c r="N605">
        <v>0</v>
      </c>
      <c r="O605" s="5">
        <f t="shared" si="45"/>
        <v>1</v>
      </c>
    </row>
    <row r="606" spans="1:15" x14ac:dyDescent="0.6">
      <c r="A606">
        <v>20260962</v>
      </c>
      <c r="B606" t="s">
        <v>167</v>
      </c>
      <c r="C606" t="s">
        <v>19</v>
      </c>
      <c r="D606" t="s">
        <v>24</v>
      </c>
      <c r="E606">
        <v>9002</v>
      </c>
      <c r="F606">
        <v>12001</v>
      </c>
      <c r="G606">
        <v>62.77</v>
      </c>
      <c r="H606">
        <v>0.62774975742603989</v>
      </c>
      <c r="I606" t="s">
        <v>148</v>
      </c>
      <c r="J606">
        <v>0.62774975742603989</v>
      </c>
      <c r="K606" t="s">
        <v>154</v>
      </c>
      <c r="L606" t="s">
        <v>152</v>
      </c>
      <c r="N606">
        <v>0</v>
      </c>
      <c r="O606" s="5">
        <f t="shared" si="45"/>
        <v>0</v>
      </c>
    </row>
    <row r="607" spans="1:15" x14ac:dyDescent="0.6">
      <c r="A607">
        <v>20260963</v>
      </c>
      <c r="B607" t="s">
        <v>167</v>
      </c>
      <c r="C607" t="s">
        <v>20</v>
      </c>
      <c r="D607" t="s">
        <v>23</v>
      </c>
      <c r="E607">
        <v>7002</v>
      </c>
      <c r="F607">
        <v>3001</v>
      </c>
      <c r="G607">
        <v>52.03</v>
      </c>
      <c r="H607">
        <v>0.52028241058318658</v>
      </c>
      <c r="I607" t="s">
        <v>148</v>
      </c>
      <c r="J607">
        <v>0.52028241058318658</v>
      </c>
      <c r="K607" t="s">
        <v>149</v>
      </c>
      <c r="L607" t="s">
        <v>152</v>
      </c>
      <c r="N607">
        <v>0</v>
      </c>
      <c r="O607" s="5">
        <f t="shared" si="45"/>
        <v>0</v>
      </c>
    </row>
    <row r="608" spans="1:15" x14ac:dyDescent="0.6">
      <c r="A608">
        <v>20260964</v>
      </c>
      <c r="B608" t="s">
        <v>167</v>
      </c>
      <c r="C608" t="s">
        <v>22</v>
      </c>
      <c r="D608" t="s">
        <v>27</v>
      </c>
      <c r="E608">
        <v>1001</v>
      </c>
      <c r="F608">
        <v>11001</v>
      </c>
      <c r="G608">
        <v>63.56</v>
      </c>
      <c r="H608">
        <v>0.63562250241345353</v>
      </c>
      <c r="I608" t="s">
        <v>148</v>
      </c>
      <c r="J608">
        <v>0.63562250241345353</v>
      </c>
      <c r="K608" t="s">
        <v>154</v>
      </c>
      <c r="L608" t="s">
        <v>152</v>
      </c>
      <c r="N608">
        <v>1</v>
      </c>
      <c r="O608" s="5">
        <f t="shared" si="45"/>
        <v>1</v>
      </c>
    </row>
    <row r="609" spans="1:15" x14ac:dyDescent="0.6">
      <c r="A609">
        <v>20260965</v>
      </c>
      <c r="B609" t="s">
        <v>168</v>
      </c>
      <c r="C609" t="s">
        <v>16</v>
      </c>
      <c r="D609" t="s">
        <v>21</v>
      </c>
      <c r="E609">
        <v>6002</v>
      </c>
      <c r="F609">
        <v>2002</v>
      </c>
      <c r="G609">
        <v>43.62</v>
      </c>
      <c r="H609">
        <v>0.4361746600479196</v>
      </c>
      <c r="I609" t="s">
        <v>148</v>
      </c>
      <c r="J609">
        <v>0.5638253399520804</v>
      </c>
      <c r="K609" t="s">
        <v>151</v>
      </c>
      <c r="L609" t="s">
        <v>150</v>
      </c>
      <c r="N609">
        <v>1</v>
      </c>
      <c r="O609" s="5">
        <f t="shared" si="45"/>
        <v>0</v>
      </c>
    </row>
    <row r="610" spans="1:15" x14ac:dyDescent="0.6">
      <c r="A610">
        <v>20260966</v>
      </c>
      <c r="B610" t="s">
        <v>168</v>
      </c>
      <c r="C610" t="s">
        <v>24</v>
      </c>
      <c r="D610" t="s">
        <v>27</v>
      </c>
      <c r="E610">
        <v>12001</v>
      </c>
      <c r="F610">
        <v>11001</v>
      </c>
      <c r="G610">
        <v>45.13</v>
      </c>
      <c r="H610">
        <v>0.45129106878890157</v>
      </c>
      <c r="I610" t="s">
        <v>148</v>
      </c>
      <c r="J610">
        <v>0.54870893121109843</v>
      </c>
      <c r="K610" t="s">
        <v>149</v>
      </c>
      <c r="L610" t="s">
        <v>150</v>
      </c>
      <c r="N610">
        <v>0</v>
      </c>
      <c r="O610" s="5">
        <f t="shared" si="45"/>
        <v>1</v>
      </c>
    </row>
    <row r="611" spans="1:15" x14ac:dyDescent="0.6">
      <c r="A611">
        <v>20260967</v>
      </c>
      <c r="B611" t="s">
        <v>168</v>
      </c>
      <c r="C611" t="s">
        <v>20</v>
      </c>
      <c r="D611" t="s">
        <v>23</v>
      </c>
      <c r="E611">
        <v>7002</v>
      </c>
      <c r="F611">
        <v>3001</v>
      </c>
      <c r="G611">
        <v>38.409999999999997</v>
      </c>
      <c r="H611">
        <v>0.38414852134490468</v>
      </c>
      <c r="I611" t="s">
        <v>148</v>
      </c>
      <c r="J611">
        <v>0.61585147865509526</v>
      </c>
      <c r="K611" t="s">
        <v>154</v>
      </c>
      <c r="L611" t="s">
        <v>150</v>
      </c>
      <c r="N611">
        <v>0</v>
      </c>
      <c r="O611" s="5">
        <f t="shared" si="45"/>
        <v>1</v>
      </c>
    </row>
    <row r="612" spans="1:15" x14ac:dyDescent="0.6">
      <c r="A612">
        <v>20260971</v>
      </c>
      <c r="B612" t="s">
        <v>169</v>
      </c>
      <c r="C612" t="s">
        <v>16</v>
      </c>
      <c r="D612" t="s">
        <v>23</v>
      </c>
      <c r="E612">
        <v>6002</v>
      </c>
      <c r="F612">
        <v>3001</v>
      </c>
      <c r="G612">
        <v>41.54</v>
      </c>
      <c r="H612">
        <v>0.41543108888661617</v>
      </c>
      <c r="I612" t="s">
        <v>148</v>
      </c>
      <c r="J612">
        <v>0.58456891111338383</v>
      </c>
      <c r="K612" t="s">
        <v>151</v>
      </c>
      <c r="L612" t="s">
        <v>150</v>
      </c>
      <c r="N612" t="s">
        <v>198</v>
      </c>
      <c r="O612" s="5" t="str">
        <f t="shared" si="45"/>
        <v/>
      </c>
    </row>
    <row r="613" spans="1:15" x14ac:dyDescent="0.6">
      <c r="A613">
        <v>20260972</v>
      </c>
      <c r="B613" t="s">
        <v>169</v>
      </c>
      <c r="C613" t="s">
        <v>19</v>
      </c>
      <c r="D613" t="s">
        <v>22</v>
      </c>
      <c r="E613">
        <v>9002</v>
      </c>
      <c r="F613">
        <v>1001</v>
      </c>
      <c r="G613">
        <v>49.85</v>
      </c>
      <c r="H613">
        <v>0.49845127344876111</v>
      </c>
      <c r="I613" t="s">
        <v>148</v>
      </c>
      <c r="J613">
        <v>0.50154872655123883</v>
      </c>
      <c r="K613" t="s">
        <v>149</v>
      </c>
      <c r="L613" t="s">
        <v>150</v>
      </c>
      <c r="N613" t="s">
        <v>198</v>
      </c>
      <c r="O613" s="5" t="str">
        <f t="shared" si="45"/>
        <v/>
      </c>
    </row>
    <row r="614" spans="1:15" x14ac:dyDescent="0.6">
      <c r="A614">
        <v>20260973</v>
      </c>
      <c r="B614" t="s">
        <v>169</v>
      </c>
      <c r="C614" t="s">
        <v>27</v>
      </c>
      <c r="D614" t="s">
        <v>20</v>
      </c>
      <c r="E614">
        <v>11001</v>
      </c>
      <c r="F614">
        <v>7002</v>
      </c>
      <c r="G614">
        <v>46.88</v>
      </c>
      <c r="H614">
        <v>0.46881472450233508</v>
      </c>
      <c r="I614" t="s">
        <v>148</v>
      </c>
      <c r="J614">
        <v>0.53118527549766492</v>
      </c>
      <c r="K614" t="s">
        <v>149</v>
      </c>
      <c r="L614" t="s">
        <v>150</v>
      </c>
      <c r="N614">
        <v>1</v>
      </c>
      <c r="O614" s="5">
        <f t="shared" si="45"/>
        <v>0</v>
      </c>
    </row>
    <row r="615" spans="1:15" x14ac:dyDescent="0.6">
      <c r="A615">
        <v>20260974</v>
      </c>
      <c r="B615" t="s">
        <v>170</v>
      </c>
      <c r="C615" t="s">
        <v>24</v>
      </c>
      <c r="D615" t="s">
        <v>17</v>
      </c>
      <c r="E615">
        <v>12001</v>
      </c>
      <c r="F615">
        <v>10001</v>
      </c>
      <c r="G615">
        <v>48.43</v>
      </c>
      <c r="H615">
        <v>0.48430453322485012</v>
      </c>
      <c r="I615" t="s">
        <v>148</v>
      </c>
      <c r="J615">
        <v>0.51569546677514988</v>
      </c>
      <c r="K615" t="s">
        <v>149</v>
      </c>
      <c r="L615" t="s">
        <v>150</v>
      </c>
      <c r="N615">
        <v>0</v>
      </c>
      <c r="O615" s="5">
        <f t="shared" si="45"/>
        <v>1</v>
      </c>
    </row>
    <row r="616" spans="1:15" x14ac:dyDescent="0.6">
      <c r="A616">
        <v>20260975</v>
      </c>
      <c r="B616" t="s">
        <v>170</v>
      </c>
      <c r="C616" t="s">
        <v>21</v>
      </c>
      <c r="D616" t="s">
        <v>28</v>
      </c>
      <c r="E616">
        <v>2002</v>
      </c>
      <c r="F616">
        <v>5002</v>
      </c>
      <c r="G616">
        <v>49.36</v>
      </c>
      <c r="H616">
        <v>0.49355882241901422</v>
      </c>
      <c r="I616" t="s">
        <v>148</v>
      </c>
      <c r="J616">
        <v>0.50644117758098584</v>
      </c>
      <c r="K616" t="s">
        <v>149</v>
      </c>
      <c r="L616" t="s">
        <v>150</v>
      </c>
      <c r="N616">
        <v>1</v>
      </c>
      <c r="O616" s="5">
        <f t="shared" si="45"/>
        <v>0</v>
      </c>
    </row>
    <row r="617" spans="1:15" x14ac:dyDescent="0.6">
      <c r="A617">
        <v>20260976</v>
      </c>
      <c r="B617" t="s">
        <v>170</v>
      </c>
      <c r="C617" t="s">
        <v>27</v>
      </c>
      <c r="D617" t="s">
        <v>20</v>
      </c>
      <c r="E617">
        <v>11001</v>
      </c>
      <c r="F617">
        <v>7002</v>
      </c>
      <c r="G617">
        <v>53.52</v>
      </c>
      <c r="H617">
        <v>0.53521002608669987</v>
      </c>
      <c r="I617" t="s">
        <v>148</v>
      </c>
      <c r="J617">
        <v>0.53521002608669987</v>
      </c>
      <c r="K617" t="s">
        <v>149</v>
      </c>
      <c r="L617" t="s">
        <v>152</v>
      </c>
      <c r="N617">
        <v>1</v>
      </c>
      <c r="O617" s="5">
        <f t="shared" si="45"/>
        <v>1</v>
      </c>
    </row>
    <row r="618" spans="1:15" x14ac:dyDescent="0.6">
      <c r="A618">
        <v>20260977</v>
      </c>
      <c r="B618" t="s">
        <v>171</v>
      </c>
      <c r="C618" t="s">
        <v>16</v>
      </c>
      <c r="D618" t="s">
        <v>24</v>
      </c>
      <c r="E618">
        <v>6002</v>
      </c>
      <c r="F618">
        <v>12001</v>
      </c>
      <c r="G618">
        <v>33.39</v>
      </c>
      <c r="H618">
        <v>0.33390455312616468</v>
      </c>
      <c r="I618" t="s">
        <v>148</v>
      </c>
      <c r="J618">
        <v>0.66609544687383526</v>
      </c>
      <c r="K618" t="s">
        <v>156</v>
      </c>
      <c r="L618" t="s">
        <v>150</v>
      </c>
      <c r="N618">
        <v>0</v>
      </c>
      <c r="O618" s="5">
        <f t="shared" si="45"/>
        <v>1</v>
      </c>
    </row>
    <row r="619" spans="1:15" x14ac:dyDescent="0.6">
      <c r="A619">
        <v>20260978</v>
      </c>
      <c r="B619" t="s">
        <v>171</v>
      </c>
      <c r="C619" t="s">
        <v>21</v>
      </c>
      <c r="D619" t="s">
        <v>28</v>
      </c>
      <c r="E619">
        <v>2002</v>
      </c>
      <c r="F619">
        <v>5002</v>
      </c>
      <c r="G619">
        <v>42.49</v>
      </c>
      <c r="H619">
        <v>0.42493774895268499</v>
      </c>
      <c r="I619" t="s">
        <v>148</v>
      </c>
      <c r="J619">
        <v>0.57506225104731501</v>
      </c>
      <c r="K619" t="s">
        <v>151</v>
      </c>
      <c r="L619" t="s">
        <v>150</v>
      </c>
      <c r="N619" t="s">
        <v>198</v>
      </c>
      <c r="O619" s="5" t="str">
        <f t="shared" si="45"/>
        <v/>
      </c>
    </row>
    <row r="620" spans="1:15" x14ac:dyDescent="0.6">
      <c r="A620">
        <v>20260979</v>
      </c>
      <c r="B620" t="s">
        <v>171</v>
      </c>
      <c r="C620" t="s">
        <v>23</v>
      </c>
      <c r="D620" t="s">
        <v>20</v>
      </c>
      <c r="E620">
        <v>3001</v>
      </c>
      <c r="F620">
        <v>7002</v>
      </c>
      <c r="G620">
        <v>57.25</v>
      </c>
      <c r="H620">
        <v>0.57247407564817976</v>
      </c>
      <c r="I620" t="s">
        <v>148</v>
      </c>
      <c r="J620">
        <v>0.57247407564817976</v>
      </c>
      <c r="K620" t="s">
        <v>151</v>
      </c>
      <c r="L620" t="s">
        <v>152</v>
      </c>
      <c r="N620">
        <v>0</v>
      </c>
      <c r="O620" s="5">
        <f t="shared" si="45"/>
        <v>0</v>
      </c>
    </row>
    <row r="621" spans="1:15" x14ac:dyDescent="0.6">
      <c r="A621">
        <v>20260980</v>
      </c>
      <c r="B621" t="s">
        <v>171</v>
      </c>
      <c r="C621" t="s">
        <v>27</v>
      </c>
      <c r="D621" t="s">
        <v>17</v>
      </c>
      <c r="E621">
        <v>11001</v>
      </c>
      <c r="F621">
        <v>10001</v>
      </c>
      <c r="G621">
        <v>31.89</v>
      </c>
      <c r="H621">
        <v>0.31891531738338003</v>
      </c>
      <c r="I621" t="s">
        <v>148</v>
      </c>
      <c r="J621">
        <v>0.68108468261662003</v>
      </c>
      <c r="K621" t="s">
        <v>156</v>
      </c>
      <c r="L621" t="s">
        <v>150</v>
      </c>
      <c r="N621">
        <v>0</v>
      </c>
      <c r="O621" s="5">
        <f t="shared" si="45"/>
        <v>1</v>
      </c>
    </row>
    <row r="622" spans="1:15" x14ac:dyDescent="0.6">
      <c r="A622">
        <v>20260981</v>
      </c>
      <c r="B622" t="s">
        <v>172</v>
      </c>
      <c r="C622" t="s">
        <v>16</v>
      </c>
      <c r="D622" t="s">
        <v>27</v>
      </c>
      <c r="E622">
        <v>6002</v>
      </c>
      <c r="F622">
        <v>11001</v>
      </c>
      <c r="G622">
        <v>71.13</v>
      </c>
      <c r="H622">
        <v>0.71133651555185839</v>
      </c>
      <c r="I622" t="s">
        <v>148</v>
      </c>
      <c r="J622">
        <v>0.71133651555185839</v>
      </c>
      <c r="K622" t="s">
        <v>173</v>
      </c>
      <c r="L622" t="s">
        <v>152</v>
      </c>
      <c r="N622">
        <v>1</v>
      </c>
      <c r="O622" s="5">
        <f t="shared" si="45"/>
        <v>1</v>
      </c>
    </row>
    <row r="623" spans="1:15" x14ac:dyDescent="0.6">
      <c r="A623">
        <v>20260982</v>
      </c>
      <c r="B623" t="s">
        <v>172</v>
      </c>
      <c r="C623" t="s">
        <v>19</v>
      </c>
      <c r="D623" t="s">
        <v>28</v>
      </c>
      <c r="E623">
        <v>9002</v>
      </c>
      <c r="F623">
        <v>5002</v>
      </c>
      <c r="G623">
        <v>57.3</v>
      </c>
      <c r="H623">
        <v>0.57298825004289999</v>
      </c>
      <c r="I623" t="s">
        <v>148</v>
      </c>
      <c r="J623">
        <v>0.57298825004289999</v>
      </c>
      <c r="K623" t="s">
        <v>151</v>
      </c>
      <c r="L623" t="s">
        <v>152</v>
      </c>
      <c r="N623">
        <v>1</v>
      </c>
      <c r="O623" s="5">
        <f t="shared" si="45"/>
        <v>1</v>
      </c>
    </row>
    <row r="624" spans="1:15" x14ac:dyDescent="0.6">
      <c r="A624">
        <v>20260983</v>
      </c>
      <c r="B624" t="s">
        <v>172</v>
      </c>
      <c r="C624" t="s">
        <v>22</v>
      </c>
      <c r="D624" t="s">
        <v>20</v>
      </c>
      <c r="E624">
        <v>1001</v>
      </c>
      <c r="F624">
        <v>7002</v>
      </c>
      <c r="G624">
        <v>69.38</v>
      </c>
      <c r="H624">
        <v>0.69380675442941231</v>
      </c>
      <c r="I624" t="s">
        <v>148</v>
      </c>
      <c r="J624">
        <v>0.69380675442941231</v>
      </c>
      <c r="K624" t="s">
        <v>156</v>
      </c>
      <c r="L624" t="s">
        <v>152</v>
      </c>
      <c r="N624">
        <v>1</v>
      </c>
      <c r="O624" s="5">
        <f t="shared" si="45"/>
        <v>1</v>
      </c>
    </row>
    <row r="625" spans="1:15" x14ac:dyDescent="0.6">
      <c r="A625">
        <v>20260984</v>
      </c>
      <c r="B625" t="s">
        <v>172</v>
      </c>
      <c r="C625" t="s">
        <v>21</v>
      </c>
      <c r="D625" t="s">
        <v>24</v>
      </c>
      <c r="E625">
        <v>2002</v>
      </c>
      <c r="F625">
        <v>12001</v>
      </c>
      <c r="G625">
        <v>56.93</v>
      </c>
      <c r="H625">
        <v>0.56932829548069952</v>
      </c>
      <c r="I625" t="s">
        <v>148</v>
      </c>
      <c r="J625">
        <v>0.56932829548069952</v>
      </c>
      <c r="K625" t="s">
        <v>151</v>
      </c>
      <c r="L625" t="s">
        <v>152</v>
      </c>
      <c r="N625">
        <v>0</v>
      </c>
      <c r="O625" s="5">
        <f t="shared" si="45"/>
        <v>0</v>
      </c>
    </row>
    <row r="626" spans="1:15" x14ac:dyDescent="0.6">
      <c r="A626">
        <v>20260985</v>
      </c>
      <c r="B626" t="s">
        <v>172</v>
      </c>
      <c r="C626" t="s">
        <v>23</v>
      </c>
      <c r="D626" t="s">
        <v>17</v>
      </c>
      <c r="E626">
        <v>3001</v>
      </c>
      <c r="F626">
        <v>10001</v>
      </c>
      <c r="G626">
        <v>63.18</v>
      </c>
      <c r="H626">
        <v>0.63176455592443204</v>
      </c>
      <c r="I626" t="s">
        <v>148</v>
      </c>
      <c r="J626">
        <v>0.63176455592443204</v>
      </c>
      <c r="K626" t="s">
        <v>154</v>
      </c>
      <c r="L626" t="s">
        <v>152</v>
      </c>
      <c r="N626">
        <v>1</v>
      </c>
      <c r="O626" s="5">
        <f t="shared" si="45"/>
        <v>1</v>
      </c>
    </row>
    <row r="627" spans="1:15" x14ac:dyDescent="0.6">
      <c r="A627">
        <v>20260986</v>
      </c>
      <c r="B627" t="s">
        <v>174</v>
      </c>
      <c r="C627" t="s">
        <v>16</v>
      </c>
      <c r="D627" t="s">
        <v>27</v>
      </c>
      <c r="E627">
        <v>6002</v>
      </c>
      <c r="F627">
        <v>11001</v>
      </c>
      <c r="G627">
        <v>38.9</v>
      </c>
      <c r="H627">
        <v>0.38899131089552619</v>
      </c>
      <c r="I627" t="s">
        <v>148</v>
      </c>
      <c r="J627">
        <v>0.61100868910447381</v>
      </c>
      <c r="K627" t="s">
        <v>154</v>
      </c>
      <c r="L627" t="s">
        <v>150</v>
      </c>
      <c r="N627">
        <v>1</v>
      </c>
      <c r="O627" s="5">
        <f t="shared" si="45"/>
        <v>0</v>
      </c>
    </row>
    <row r="628" spans="1:15" x14ac:dyDescent="0.6">
      <c r="A628">
        <v>20260987</v>
      </c>
      <c r="B628" t="s">
        <v>174</v>
      </c>
      <c r="C628" t="s">
        <v>19</v>
      </c>
      <c r="D628" t="s">
        <v>28</v>
      </c>
      <c r="E628">
        <v>9002</v>
      </c>
      <c r="F628">
        <v>5002</v>
      </c>
      <c r="G628">
        <v>45.03</v>
      </c>
      <c r="H628">
        <v>0.45034292862187092</v>
      </c>
      <c r="I628" t="s">
        <v>148</v>
      </c>
      <c r="J628">
        <v>0.54965707137812914</v>
      </c>
      <c r="K628" t="s">
        <v>149</v>
      </c>
      <c r="L628" t="s">
        <v>150</v>
      </c>
      <c r="N628">
        <v>1</v>
      </c>
      <c r="O628" s="5">
        <f t="shared" si="45"/>
        <v>0</v>
      </c>
    </row>
    <row r="629" spans="1:15" x14ac:dyDescent="0.6">
      <c r="A629">
        <v>20260988</v>
      </c>
      <c r="B629" t="s">
        <v>174</v>
      </c>
      <c r="C629" t="s">
        <v>22</v>
      </c>
      <c r="D629" t="s">
        <v>20</v>
      </c>
      <c r="E629">
        <v>1001</v>
      </c>
      <c r="F629">
        <v>7002</v>
      </c>
      <c r="G629">
        <v>59.5</v>
      </c>
      <c r="H629">
        <v>0.59497558992833643</v>
      </c>
      <c r="I629" t="s">
        <v>148</v>
      </c>
      <c r="J629">
        <v>0.59497558992833643</v>
      </c>
      <c r="K629" t="s">
        <v>151</v>
      </c>
      <c r="L629" t="s">
        <v>152</v>
      </c>
      <c r="N629">
        <v>1</v>
      </c>
      <c r="O629" s="5">
        <f t="shared" si="45"/>
        <v>1</v>
      </c>
    </row>
    <row r="630" spans="1:15" x14ac:dyDescent="0.6">
      <c r="A630">
        <v>20260989</v>
      </c>
      <c r="B630" t="s">
        <v>174</v>
      </c>
      <c r="C630" t="s">
        <v>21</v>
      </c>
      <c r="D630" t="s">
        <v>24</v>
      </c>
      <c r="E630">
        <v>2002</v>
      </c>
      <c r="F630">
        <v>12001</v>
      </c>
      <c r="G630">
        <v>35.26</v>
      </c>
      <c r="H630">
        <v>0.35264075198669131</v>
      </c>
      <c r="I630" t="s">
        <v>148</v>
      </c>
      <c r="J630">
        <v>0.64735924801330869</v>
      </c>
      <c r="K630" t="s">
        <v>154</v>
      </c>
      <c r="L630" t="s">
        <v>150</v>
      </c>
      <c r="N630">
        <v>0</v>
      </c>
      <c r="O630" s="5">
        <f t="shared" si="45"/>
        <v>1</v>
      </c>
    </row>
    <row r="631" spans="1:15" x14ac:dyDescent="0.6">
      <c r="A631">
        <v>20260990</v>
      </c>
      <c r="B631" t="s">
        <v>174</v>
      </c>
      <c r="C631" t="s">
        <v>23</v>
      </c>
      <c r="D631" t="s">
        <v>17</v>
      </c>
      <c r="E631">
        <v>3001</v>
      </c>
      <c r="F631">
        <v>10001</v>
      </c>
      <c r="G631">
        <v>60.63</v>
      </c>
      <c r="H631">
        <v>0.60625170596291023</v>
      </c>
      <c r="I631" t="s">
        <v>148</v>
      </c>
      <c r="J631">
        <v>0.60625170596291023</v>
      </c>
      <c r="K631" t="s">
        <v>154</v>
      </c>
      <c r="L631" t="s">
        <v>152</v>
      </c>
      <c r="N631">
        <v>1</v>
      </c>
      <c r="O631" s="5">
        <f t="shared" si="45"/>
        <v>1</v>
      </c>
    </row>
    <row r="632" spans="1:15" x14ac:dyDescent="0.6">
      <c r="A632">
        <v>20260991</v>
      </c>
      <c r="B632" t="s">
        <v>175</v>
      </c>
      <c r="C632" t="s">
        <v>16</v>
      </c>
      <c r="D632" t="s">
        <v>27</v>
      </c>
      <c r="E632">
        <v>6002</v>
      </c>
      <c r="F632">
        <v>11001</v>
      </c>
      <c r="G632">
        <v>60.79</v>
      </c>
      <c r="H632">
        <v>0.60793842913811191</v>
      </c>
      <c r="I632" t="s">
        <v>148</v>
      </c>
      <c r="J632">
        <v>0.60793842913811191</v>
      </c>
      <c r="K632" t="s">
        <v>154</v>
      </c>
      <c r="L632" t="s">
        <v>152</v>
      </c>
      <c r="N632">
        <v>1</v>
      </c>
      <c r="O632" s="5">
        <f t="shared" si="45"/>
        <v>1</v>
      </c>
    </row>
    <row r="633" spans="1:15" x14ac:dyDescent="0.6">
      <c r="A633">
        <v>20260992</v>
      </c>
      <c r="B633" t="s">
        <v>175</v>
      </c>
      <c r="C633" t="s">
        <v>19</v>
      </c>
      <c r="D633" t="s">
        <v>28</v>
      </c>
      <c r="E633">
        <v>9002</v>
      </c>
      <c r="F633">
        <v>5002</v>
      </c>
      <c r="G633">
        <v>52.65</v>
      </c>
      <c r="H633">
        <v>0.52649750035582299</v>
      </c>
      <c r="I633" t="s">
        <v>148</v>
      </c>
      <c r="J633">
        <v>0.52649750035582299</v>
      </c>
      <c r="K633" t="s">
        <v>149</v>
      </c>
      <c r="L633" t="s">
        <v>152</v>
      </c>
      <c r="N633">
        <v>1</v>
      </c>
      <c r="O633" s="5">
        <f t="shared" si="45"/>
        <v>1</v>
      </c>
    </row>
    <row r="634" spans="1:15" x14ac:dyDescent="0.6">
      <c r="A634">
        <v>20260993</v>
      </c>
      <c r="B634" t="s">
        <v>175</v>
      </c>
      <c r="C634" t="s">
        <v>22</v>
      </c>
      <c r="D634" t="s">
        <v>20</v>
      </c>
      <c r="E634">
        <v>1001</v>
      </c>
      <c r="F634">
        <v>7002</v>
      </c>
      <c r="G634">
        <v>57.07</v>
      </c>
      <c r="H634">
        <v>0.57066708511541542</v>
      </c>
      <c r="I634" t="s">
        <v>148</v>
      </c>
      <c r="J634">
        <v>0.57066708511541542</v>
      </c>
      <c r="K634" t="s">
        <v>151</v>
      </c>
      <c r="L634" t="s">
        <v>152</v>
      </c>
      <c r="N634">
        <v>1</v>
      </c>
      <c r="O634" s="5">
        <f t="shared" si="45"/>
        <v>1</v>
      </c>
    </row>
    <row r="635" spans="1:15" x14ac:dyDescent="0.6">
      <c r="A635">
        <v>20260994</v>
      </c>
      <c r="B635" t="s">
        <v>175</v>
      </c>
      <c r="C635" t="s">
        <v>21</v>
      </c>
      <c r="D635" t="s">
        <v>24</v>
      </c>
      <c r="E635">
        <v>2002</v>
      </c>
      <c r="F635">
        <v>12001</v>
      </c>
      <c r="G635">
        <v>42.85</v>
      </c>
      <c r="H635">
        <v>0.42850792781022801</v>
      </c>
      <c r="I635" t="s">
        <v>148</v>
      </c>
      <c r="J635">
        <v>0.57149207218977205</v>
      </c>
      <c r="K635" t="s">
        <v>151</v>
      </c>
      <c r="L635" t="s">
        <v>150</v>
      </c>
      <c r="N635">
        <v>0</v>
      </c>
      <c r="O635" s="5">
        <f t="shared" si="45"/>
        <v>1</v>
      </c>
    </row>
    <row r="636" spans="1:15" x14ac:dyDescent="0.6">
      <c r="A636">
        <v>20260995</v>
      </c>
      <c r="B636" t="s">
        <v>176</v>
      </c>
      <c r="C636" t="s">
        <v>28</v>
      </c>
      <c r="D636" t="s">
        <v>21</v>
      </c>
      <c r="E636">
        <v>5002</v>
      </c>
      <c r="F636">
        <v>2002</v>
      </c>
      <c r="G636">
        <v>47.06</v>
      </c>
      <c r="H636">
        <v>0.47057750354249539</v>
      </c>
      <c r="I636" t="s">
        <v>148</v>
      </c>
      <c r="J636">
        <v>0.52942249645750461</v>
      </c>
      <c r="K636" t="s">
        <v>149</v>
      </c>
      <c r="L636" t="s">
        <v>150</v>
      </c>
      <c r="N636">
        <v>0</v>
      </c>
      <c r="O636" s="5">
        <f t="shared" si="45"/>
        <v>1</v>
      </c>
    </row>
    <row r="637" spans="1:15" x14ac:dyDescent="0.6">
      <c r="A637">
        <v>20260996</v>
      </c>
      <c r="B637" t="s">
        <v>176</v>
      </c>
      <c r="C637" t="s">
        <v>24</v>
      </c>
      <c r="D637" t="s">
        <v>23</v>
      </c>
      <c r="E637">
        <v>12001</v>
      </c>
      <c r="F637">
        <v>3001</v>
      </c>
      <c r="G637">
        <v>52.73</v>
      </c>
      <c r="H637">
        <v>0.52731872653835399</v>
      </c>
      <c r="I637" t="s">
        <v>148</v>
      </c>
      <c r="J637">
        <v>0.52731872653835399</v>
      </c>
      <c r="K637" t="s">
        <v>149</v>
      </c>
      <c r="L637" t="s">
        <v>152</v>
      </c>
      <c r="N637">
        <v>1</v>
      </c>
      <c r="O637" s="5">
        <f t="shared" si="45"/>
        <v>1</v>
      </c>
    </row>
    <row r="638" spans="1:15" x14ac:dyDescent="0.6">
      <c r="A638">
        <v>20260997</v>
      </c>
      <c r="B638" t="s">
        <v>176</v>
      </c>
      <c r="C638" t="s">
        <v>20</v>
      </c>
      <c r="D638" t="s">
        <v>17</v>
      </c>
      <c r="E638">
        <v>7002</v>
      </c>
      <c r="F638">
        <v>10001</v>
      </c>
      <c r="G638">
        <v>48.78</v>
      </c>
      <c r="H638">
        <v>0.48783605346773667</v>
      </c>
      <c r="I638" t="s">
        <v>148</v>
      </c>
      <c r="J638">
        <v>0.51216394653226338</v>
      </c>
      <c r="K638" t="s">
        <v>149</v>
      </c>
      <c r="L638" t="s">
        <v>150</v>
      </c>
      <c r="N638">
        <v>0</v>
      </c>
      <c r="O638" s="5">
        <f t="shared" si="45"/>
        <v>1</v>
      </c>
    </row>
    <row r="639" spans="1:15" x14ac:dyDescent="0.6">
      <c r="A639">
        <v>20260998</v>
      </c>
      <c r="B639" t="s">
        <v>176</v>
      </c>
      <c r="C639" t="s">
        <v>22</v>
      </c>
      <c r="D639" t="s">
        <v>16</v>
      </c>
      <c r="E639">
        <v>1001</v>
      </c>
      <c r="F639">
        <v>6002</v>
      </c>
      <c r="G639">
        <v>56.29</v>
      </c>
      <c r="H639">
        <v>0.56291445516966276</v>
      </c>
      <c r="I639" t="s">
        <v>148</v>
      </c>
      <c r="J639">
        <v>0.56291445516966276</v>
      </c>
      <c r="K639" t="s">
        <v>151</v>
      </c>
      <c r="L639" t="s">
        <v>152</v>
      </c>
      <c r="N639">
        <v>1</v>
      </c>
      <c r="O639" s="5">
        <f t="shared" si="45"/>
        <v>1</v>
      </c>
    </row>
    <row r="640" spans="1:15" x14ac:dyDescent="0.6">
      <c r="A640">
        <v>20260999</v>
      </c>
      <c r="B640" t="s">
        <v>176</v>
      </c>
      <c r="C640" t="s">
        <v>27</v>
      </c>
      <c r="D640" t="s">
        <v>19</v>
      </c>
      <c r="E640">
        <v>11001</v>
      </c>
      <c r="F640">
        <v>9002</v>
      </c>
      <c r="G640">
        <v>49.8</v>
      </c>
      <c r="H640">
        <v>0.49799086139516208</v>
      </c>
      <c r="I640" t="s">
        <v>148</v>
      </c>
      <c r="J640">
        <v>0.50200913860483798</v>
      </c>
      <c r="K640" t="s">
        <v>149</v>
      </c>
      <c r="L640" t="s">
        <v>150</v>
      </c>
      <c r="N640">
        <v>1</v>
      </c>
      <c r="O640" s="5">
        <f t="shared" si="45"/>
        <v>0</v>
      </c>
    </row>
    <row r="641" spans="1:15" x14ac:dyDescent="0.6">
      <c r="A641">
        <v>20261000</v>
      </c>
      <c r="B641" t="s">
        <v>177</v>
      </c>
      <c r="C641" t="s">
        <v>28</v>
      </c>
      <c r="D641" t="s">
        <v>21</v>
      </c>
      <c r="E641">
        <v>5002</v>
      </c>
      <c r="F641">
        <v>2002</v>
      </c>
      <c r="G641">
        <v>36.94</v>
      </c>
      <c r="H641">
        <v>0.36943257099466908</v>
      </c>
      <c r="I641" t="s">
        <v>148</v>
      </c>
      <c r="J641">
        <v>0.63056742900533092</v>
      </c>
      <c r="K641" t="s">
        <v>154</v>
      </c>
      <c r="L641" t="s">
        <v>150</v>
      </c>
      <c r="N641">
        <v>0</v>
      </c>
      <c r="O641" s="5">
        <f t="shared" si="45"/>
        <v>1</v>
      </c>
    </row>
    <row r="642" spans="1:15" x14ac:dyDescent="0.6">
      <c r="A642">
        <v>20261002</v>
      </c>
      <c r="B642" t="s">
        <v>177</v>
      </c>
      <c r="C642" t="s">
        <v>20</v>
      </c>
      <c r="D642" t="s">
        <v>17</v>
      </c>
      <c r="E642">
        <v>7002</v>
      </c>
      <c r="F642">
        <v>10001</v>
      </c>
      <c r="G642">
        <v>30.64</v>
      </c>
      <c r="H642">
        <v>0.30644629231537007</v>
      </c>
      <c r="I642" t="s">
        <v>148</v>
      </c>
      <c r="J642">
        <v>0.69355370768462987</v>
      </c>
      <c r="K642" t="s">
        <v>156</v>
      </c>
      <c r="L642" t="s">
        <v>150</v>
      </c>
      <c r="N642">
        <v>0</v>
      </c>
      <c r="O642" s="5">
        <f t="shared" ref="O642:O671" si="46">IF(AND(N642&lt;&gt;"", OR(N642=0, N642=1)), IF(ROUND(H642,0)=N642, 1, 0), "")</f>
        <v>1</v>
      </c>
    </row>
    <row r="643" spans="1:15" x14ac:dyDescent="0.6">
      <c r="A643">
        <v>20261003</v>
      </c>
      <c r="B643" t="s">
        <v>177</v>
      </c>
      <c r="C643" t="s">
        <v>22</v>
      </c>
      <c r="D643" t="s">
        <v>16</v>
      </c>
      <c r="E643">
        <v>1001</v>
      </c>
      <c r="F643">
        <v>6002</v>
      </c>
      <c r="G643">
        <v>49.77</v>
      </c>
      <c r="H643">
        <v>0.49773777968382982</v>
      </c>
      <c r="I643" t="s">
        <v>148</v>
      </c>
      <c r="J643">
        <v>0.50226222031617018</v>
      </c>
      <c r="K643" t="s">
        <v>149</v>
      </c>
      <c r="L643" t="s">
        <v>150</v>
      </c>
      <c r="N643">
        <v>0</v>
      </c>
      <c r="O643" s="5">
        <f t="shared" si="46"/>
        <v>1</v>
      </c>
    </row>
    <row r="644" spans="1:15" x14ac:dyDescent="0.6">
      <c r="A644">
        <v>20261004</v>
      </c>
      <c r="B644" t="s">
        <v>177</v>
      </c>
      <c r="C644" t="s">
        <v>27</v>
      </c>
      <c r="D644" t="s">
        <v>19</v>
      </c>
      <c r="E644">
        <v>11001</v>
      </c>
      <c r="F644">
        <v>9002</v>
      </c>
      <c r="G644">
        <v>46.32</v>
      </c>
      <c r="H644">
        <v>0.46320588222488401</v>
      </c>
      <c r="I644" t="s">
        <v>148</v>
      </c>
      <c r="J644">
        <v>0.53679411777511599</v>
      </c>
      <c r="K644" t="s">
        <v>149</v>
      </c>
      <c r="L644" t="s">
        <v>150</v>
      </c>
      <c r="N644">
        <v>0</v>
      </c>
      <c r="O644" s="5">
        <f t="shared" si="46"/>
        <v>1</v>
      </c>
    </row>
    <row r="645" spans="1:15" x14ac:dyDescent="0.6">
      <c r="A645">
        <v>20261001</v>
      </c>
      <c r="B645" t="s">
        <v>177</v>
      </c>
      <c r="C645" t="s">
        <v>24</v>
      </c>
      <c r="D645" t="s">
        <v>23</v>
      </c>
      <c r="E645">
        <v>12001</v>
      </c>
      <c r="F645">
        <v>3001</v>
      </c>
      <c r="G645">
        <v>50.61</v>
      </c>
      <c r="H645">
        <v>0.5060706237476299</v>
      </c>
      <c r="I645" t="s">
        <v>148</v>
      </c>
      <c r="J645">
        <v>0.5060706237476299</v>
      </c>
      <c r="K645" t="s">
        <v>149</v>
      </c>
      <c r="L645" t="s">
        <v>152</v>
      </c>
      <c r="N645" t="s">
        <v>199</v>
      </c>
      <c r="O645" s="5" t="str">
        <f t="shared" si="46"/>
        <v/>
      </c>
    </row>
    <row r="646" spans="1:15" x14ac:dyDescent="0.6">
      <c r="A646">
        <v>20261005</v>
      </c>
      <c r="B646" t="s">
        <v>178</v>
      </c>
      <c r="C646" t="s">
        <v>28</v>
      </c>
      <c r="D646" t="s">
        <v>21</v>
      </c>
      <c r="E646">
        <v>5002</v>
      </c>
      <c r="F646">
        <v>2002</v>
      </c>
      <c r="G646">
        <v>41.12</v>
      </c>
      <c r="H646">
        <v>0.41116435029509218</v>
      </c>
      <c r="I646" t="s">
        <v>148</v>
      </c>
      <c r="J646">
        <v>0.58883564970490776</v>
      </c>
      <c r="K646" t="s">
        <v>151</v>
      </c>
      <c r="L646" t="s">
        <v>150</v>
      </c>
      <c r="N646">
        <v>0</v>
      </c>
      <c r="O646" s="5">
        <f t="shared" si="46"/>
        <v>1</v>
      </c>
    </row>
    <row r="647" spans="1:15" x14ac:dyDescent="0.6">
      <c r="A647">
        <v>20261006</v>
      </c>
      <c r="B647" t="s">
        <v>178</v>
      </c>
      <c r="C647" t="s">
        <v>24</v>
      </c>
      <c r="D647" t="s">
        <v>23</v>
      </c>
      <c r="E647">
        <v>12001</v>
      </c>
      <c r="F647">
        <v>3001</v>
      </c>
      <c r="G647">
        <v>50.91</v>
      </c>
      <c r="H647">
        <v>0.50913792750322395</v>
      </c>
      <c r="I647" t="s">
        <v>148</v>
      </c>
      <c r="J647">
        <v>0.50913792750322395</v>
      </c>
      <c r="K647" t="s">
        <v>149</v>
      </c>
      <c r="L647" t="s">
        <v>152</v>
      </c>
      <c r="N647">
        <v>1</v>
      </c>
      <c r="O647" s="5">
        <f t="shared" si="46"/>
        <v>1</v>
      </c>
    </row>
    <row r="648" spans="1:15" x14ac:dyDescent="0.6">
      <c r="A648">
        <v>20261007</v>
      </c>
      <c r="B648" t="s">
        <v>178</v>
      </c>
      <c r="C648" t="s">
        <v>20</v>
      </c>
      <c r="D648" t="s">
        <v>17</v>
      </c>
      <c r="E648">
        <v>7002</v>
      </c>
      <c r="F648">
        <v>10001</v>
      </c>
      <c r="G648">
        <v>38.57</v>
      </c>
      <c r="H648">
        <v>0.38569412691232258</v>
      </c>
      <c r="I648" t="s">
        <v>148</v>
      </c>
      <c r="J648">
        <v>0.61430587308767737</v>
      </c>
      <c r="K648" t="s">
        <v>154</v>
      </c>
      <c r="L648" t="s">
        <v>150</v>
      </c>
      <c r="N648">
        <v>1</v>
      </c>
      <c r="O648" s="5">
        <f t="shared" si="46"/>
        <v>0</v>
      </c>
    </row>
    <row r="649" spans="1:15" x14ac:dyDescent="0.6">
      <c r="A649">
        <v>20261008</v>
      </c>
      <c r="B649" t="s">
        <v>178</v>
      </c>
      <c r="C649" t="s">
        <v>22</v>
      </c>
      <c r="D649" t="s">
        <v>16</v>
      </c>
      <c r="E649">
        <v>1001</v>
      </c>
      <c r="F649">
        <v>6002</v>
      </c>
      <c r="G649">
        <v>53.33</v>
      </c>
      <c r="H649">
        <v>0.53334788859293814</v>
      </c>
      <c r="I649" t="s">
        <v>148</v>
      </c>
      <c r="J649">
        <v>0.53334788859293814</v>
      </c>
      <c r="K649" t="s">
        <v>149</v>
      </c>
      <c r="L649" t="s">
        <v>152</v>
      </c>
      <c r="N649">
        <v>0</v>
      </c>
      <c r="O649" s="5">
        <f t="shared" si="46"/>
        <v>0</v>
      </c>
    </row>
    <row r="650" spans="1:15" x14ac:dyDescent="0.6">
      <c r="A650">
        <v>20261009</v>
      </c>
      <c r="B650" t="s">
        <v>178</v>
      </c>
      <c r="C650" t="s">
        <v>27</v>
      </c>
      <c r="D650" t="s">
        <v>19</v>
      </c>
      <c r="E650">
        <v>11001</v>
      </c>
      <c r="F650">
        <v>9002</v>
      </c>
      <c r="G650">
        <v>33.08</v>
      </c>
      <c r="H650">
        <v>0.33082581915004772</v>
      </c>
      <c r="I650" t="s">
        <v>148</v>
      </c>
      <c r="J650">
        <v>0.66917418084995228</v>
      </c>
      <c r="K650" t="s">
        <v>156</v>
      </c>
      <c r="L650" t="s">
        <v>150</v>
      </c>
      <c r="N650">
        <v>0</v>
      </c>
      <c r="O650" s="5">
        <f t="shared" si="46"/>
        <v>1</v>
      </c>
    </row>
    <row r="651" spans="1:15" x14ac:dyDescent="0.6">
      <c r="A651">
        <v>20261010</v>
      </c>
      <c r="B651" t="s">
        <v>179</v>
      </c>
      <c r="C651" t="s">
        <v>28</v>
      </c>
      <c r="D651" t="s">
        <v>27</v>
      </c>
      <c r="E651">
        <v>5002</v>
      </c>
      <c r="F651">
        <v>11001</v>
      </c>
      <c r="G651">
        <v>42.8</v>
      </c>
      <c r="H651">
        <v>0.4280318308562841</v>
      </c>
      <c r="I651" t="s">
        <v>148</v>
      </c>
      <c r="J651">
        <v>0.57196816914371595</v>
      </c>
      <c r="K651" t="s">
        <v>151</v>
      </c>
      <c r="L651" t="s">
        <v>150</v>
      </c>
      <c r="N651">
        <v>1</v>
      </c>
      <c r="O651" s="5">
        <f t="shared" si="46"/>
        <v>0</v>
      </c>
    </row>
    <row r="652" spans="1:15" x14ac:dyDescent="0.6">
      <c r="A652">
        <v>20261011</v>
      </c>
      <c r="B652" t="s">
        <v>179</v>
      </c>
      <c r="C652" t="s">
        <v>17</v>
      </c>
      <c r="D652" t="s">
        <v>24</v>
      </c>
      <c r="E652">
        <v>10001</v>
      </c>
      <c r="F652">
        <v>12001</v>
      </c>
      <c r="G652">
        <v>33.119999999999997</v>
      </c>
      <c r="H652">
        <v>0.33118027847108172</v>
      </c>
      <c r="I652" t="s">
        <v>148</v>
      </c>
      <c r="J652">
        <v>0.66881972152891822</v>
      </c>
      <c r="K652" t="s">
        <v>156</v>
      </c>
      <c r="L652" t="s">
        <v>150</v>
      </c>
      <c r="N652">
        <v>0</v>
      </c>
      <c r="O652" s="5">
        <f t="shared" si="46"/>
        <v>1</v>
      </c>
    </row>
    <row r="653" spans="1:15" x14ac:dyDescent="0.6">
      <c r="A653">
        <v>20261012</v>
      </c>
      <c r="B653" t="s">
        <v>179</v>
      </c>
      <c r="C653" t="s">
        <v>20</v>
      </c>
      <c r="D653" t="s">
        <v>19</v>
      </c>
      <c r="E653">
        <v>7002</v>
      </c>
      <c r="F653">
        <v>9002</v>
      </c>
      <c r="G653">
        <v>54.43</v>
      </c>
      <c r="H653">
        <v>0.54433027861023398</v>
      </c>
      <c r="I653" t="s">
        <v>148</v>
      </c>
      <c r="J653">
        <v>0.54433027861023398</v>
      </c>
      <c r="K653" t="s">
        <v>149</v>
      </c>
      <c r="L653" t="s">
        <v>152</v>
      </c>
      <c r="N653">
        <v>1</v>
      </c>
      <c r="O653" s="5">
        <f t="shared" si="46"/>
        <v>1</v>
      </c>
    </row>
    <row r="654" spans="1:15" x14ac:dyDescent="0.6">
      <c r="A654">
        <v>20261013</v>
      </c>
      <c r="B654" t="s">
        <v>179</v>
      </c>
      <c r="C654" t="s">
        <v>21</v>
      </c>
      <c r="D654" t="s">
        <v>22</v>
      </c>
      <c r="E654">
        <v>2002</v>
      </c>
      <c r="F654">
        <v>1001</v>
      </c>
      <c r="G654">
        <v>44.2</v>
      </c>
      <c r="H654">
        <v>0.44202849394127569</v>
      </c>
      <c r="I654" t="s">
        <v>148</v>
      </c>
      <c r="J654">
        <v>0.55797150605872425</v>
      </c>
      <c r="K654" t="s">
        <v>151</v>
      </c>
      <c r="L654" t="s">
        <v>150</v>
      </c>
      <c r="N654">
        <v>0</v>
      </c>
      <c r="O654" s="5">
        <f t="shared" si="46"/>
        <v>1</v>
      </c>
    </row>
    <row r="655" spans="1:15" x14ac:dyDescent="0.6">
      <c r="A655">
        <v>20261014</v>
      </c>
      <c r="B655" t="s">
        <v>179</v>
      </c>
      <c r="C655" t="s">
        <v>23</v>
      </c>
      <c r="D655" t="s">
        <v>16</v>
      </c>
      <c r="E655">
        <v>3001</v>
      </c>
      <c r="F655">
        <v>6002</v>
      </c>
      <c r="G655">
        <v>33.08</v>
      </c>
      <c r="H655">
        <v>0.33082089609164889</v>
      </c>
      <c r="I655" t="s">
        <v>148</v>
      </c>
      <c r="J655">
        <v>0.66917910390835111</v>
      </c>
      <c r="K655" t="s">
        <v>156</v>
      </c>
      <c r="L655" t="s">
        <v>150</v>
      </c>
      <c r="N655">
        <v>0</v>
      </c>
      <c r="O655" s="5">
        <f t="shared" si="46"/>
        <v>1</v>
      </c>
    </row>
    <row r="656" spans="1:15" x14ac:dyDescent="0.6">
      <c r="A656">
        <v>20261015</v>
      </c>
      <c r="B656" t="s">
        <v>180</v>
      </c>
      <c r="C656" t="s">
        <v>28</v>
      </c>
      <c r="D656" t="s">
        <v>16</v>
      </c>
      <c r="E656">
        <v>5002</v>
      </c>
      <c r="F656">
        <v>6002</v>
      </c>
      <c r="G656">
        <v>40.14</v>
      </c>
      <c r="H656">
        <v>0.40142299814813331</v>
      </c>
      <c r="I656" t="s">
        <v>148</v>
      </c>
      <c r="J656">
        <v>0.59857700185186669</v>
      </c>
      <c r="K656" t="s">
        <v>151</v>
      </c>
      <c r="L656" t="s">
        <v>150</v>
      </c>
      <c r="N656">
        <v>1</v>
      </c>
      <c r="O656" s="5">
        <f t="shared" si="46"/>
        <v>0</v>
      </c>
    </row>
    <row r="657" spans="1:15" x14ac:dyDescent="0.6">
      <c r="A657">
        <v>20261016</v>
      </c>
      <c r="B657" t="s">
        <v>180</v>
      </c>
      <c r="C657" t="s">
        <v>17</v>
      </c>
      <c r="D657" t="s">
        <v>20</v>
      </c>
      <c r="E657">
        <v>10001</v>
      </c>
      <c r="F657">
        <v>7002</v>
      </c>
      <c r="G657">
        <v>59.32</v>
      </c>
      <c r="H657">
        <v>0.59321143598747916</v>
      </c>
      <c r="I657" t="s">
        <v>148</v>
      </c>
      <c r="J657">
        <v>0.59321143598747916</v>
      </c>
      <c r="K657" t="s">
        <v>151</v>
      </c>
      <c r="L657" t="s">
        <v>152</v>
      </c>
      <c r="N657">
        <v>1</v>
      </c>
      <c r="O657" s="5">
        <f t="shared" si="46"/>
        <v>1</v>
      </c>
    </row>
    <row r="658" spans="1:15" x14ac:dyDescent="0.6">
      <c r="A658">
        <v>20261017</v>
      </c>
      <c r="B658" t="s">
        <v>180</v>
      </c>
      <c r="C658" t="s">
        <v>19</v>
      </c>
      <c r="D658" t="s">
        <v>27</v>
      </c>
      <c r="E658">
        <v>9002</v>
      </c>
      <c r="F658">
        <v>11001</v>
      </c>
      <c r="G658">
        <v>61.21</v>
      </c>
      <c r="H658">
        <v>0.61206287641450297</v>
      </c>
      <c r="I658" t="s">
        <v>148</v>
      </c>
      <c r="J658">
        <v>0.61206287641450297</v>
      </c>
      <c r="K658" t="s">
        <v>154</v>
      </c>
      <c r="L658" t="s">
        <v>152</v>
      </c>
      <c r="N658">
        <v>1</v>
      </c>
      <c r="O658" s="5">
        <f t="shared" si="46"/>
        <v>1</v>
      </c>
    </row>
    <row r="659" spans="1:15" x14ac:dyDescent="0.6">
      <c r="A659">
        <v>20261018</v>
      </c>
      <c r="B659" t="s">
        <v>180</v>
      </c>
      <c r="C659" t="s">
        <v>24</v>
      </c>
      <c r="D659" t="s">
        <v>22</v>
      </c>
      <c r="E659">
        <v>12001</v>
      </c>
      <c r="F659">
        <v>1001</v>
      </c>
      <c r="G659">
        <v>54.73</v>
      </c>
      <c r="H659">
        <v>0.5472886579354741</v>
      </c>
      <c r="I659" t="s">
        <v>148</v>
      </c>
      <c r="J659">
        <v>0.5472886579354741</v>
      </c>
      <c r="K659" t="s">
        <v>149</v>
      </c>
      <c r="L659" t="s">
        <v>152</v>
      </c>
      <c r="N659">
        <v>1</v>
      </c>
      <c r="O659" s="5">
        <f t="shared" si="46"/>
        <v>1</v>
      </c>
    </row>
    <row r="660" spans="1:15" x14ac:dyDescent="0.6">
      <c r="A660">
        <v>20261019</v>
      </c>
      <c r="B660" t="s">
        <v>180</v>
      </c>
      <c r="C660" t="s">
        <v>23</v>
      </c>
      <c r="D660" t="s">
        <v>21</v>
      </c>
      <c r="E660">
        <v>3001</v>
      </c>
      <c r="F660">
        <v>2002</v>
      </c>
      <c r="G660">
        <v>33.76</v>
      </c>
      <c r="H660">
        <v>0.33760146347758679</v>
      </c>
      <c r="I660" t="s">
        <v>148</v>
      </c>
      <c r="J660">
        <v>0.66239853652241321</v>
      </c>
      <c r="K660" t="s">
        <v>156</v>
      </c>
      <c r="L660" t="s">
        <v>150</v>
      </c>
      <c r="N660">
        <v>0</v>
      </c>
      <c r="O660" s="5">
        <f t="shared" si="46"/>
        <v>1</v>
      </c>
    </row>
    <row r="661" spans="1:15" x14ac:dyDescent="0.6">
      <c r="A661">
        <v>20261052</v>
      </c>
      <c r="B661" t="s">
        <v>181</v>
      </c>
      <c r="C661" t="s">
        <v>19</v>
      </c>
      <c r="D661" t="s">
        <v>22</v>
      </c>
      <c r="E661">
        <v>9002</v>
      </c>
      <c r="F661">
        <v>1001</v>
      </c>
      <c r="G661">
        <v>55.41</v>
      </c>
      <c r="H661">
        <v>0.55407872210763842</v>
      </c>
      <c r="I661" t="s">
        <v>148</v>
      </c>
      <c r="J661">
        <v>0.55407872210763842</v>
      </c>
      <c r="K661" t="s">
        <v>151</v>
      </c>
      <c r="L661" t="s">
        <v>152</v>
      </c>
      <c r="N661">
        <v>1</v>
      </c>
      <c r="O661" s="5">
        <f t="shared" si="46"/>
        <v>1</v>
      </c>
    </row>
    <row r="662" spans="1:15" x14ac:dyDescent="0.6">
      <c r="A662">
        <v>20261053</v>
      </c>
      <c r="B662" t="s">
        <v>181</v>
      </c>
      <c r="C662" t="s">
        <v>23</v>
      </c>
      <c r="D662" t="s">
        <v>28</v>
      </c>
      <c r="E662">
        <v>3001</v>
      </c>
      <c r="F662">
        <v>5002</v>
      </c>
      <c r="G662">
        <v>32.71</v>
      </c>
      <c r="H662">
        <v>0.32705789807904062</v>
      </c>
      <c r="I662" t="s">
        <v>148</v>
      </c>
      <c r="J662">
        <v>0.67294210192095938</v>
      </c>
      <c r="K662" t="s">
        <v>156</v>
      </c>
      <c r="L662" t="s">
        <v>150</v>
      </c>
      <c r="N662">
        <v>1</v>
      </c>
      <c r="O662" s="5">
        <f t="shared" si="46"/>
        <v>0</v>
      </c>
    </row>
    <row r="663" spans="1:15" x14ac:dyDescent="0.6">
      <c r="A663">
        <v>20261054</v>
      </c>
      <c r="B663" t="s">
        <v>181</v>
      </c>
      <c r="C663" t="s">
        <v>27</v>
      </c>
      <c r="D663" t="s">
        <v>21</v>
      </c>
      <c r="E663">
        <v>11001</v>
      </c>
      <c r="F663">
        <v>2002</v>
      </c>
      <c r="G663">
        <v>44.23</v>
      </c>
      <c r="H663">
        <v>0.44225520995294648</v>
      </c>
      <c r="I663" t="s">
        <v>148</v>
      </c>
      <c r="J663">
        <v>0.55774479004705346</v>
      </c>
      <c r="K663" t="s">
        <v>151</v>
      </c>
      <c r="L663" t="s">
        <v>150</v>
      </c>
      <c r="N663">
        <v>0</v>
      </c>
      <c r="O663" s="5">
        <f t="shared" si="46"/>
        <v>1</v>
      </c>
    </row>
    <row r="664" spans="1:15" x14ac:dyDescent="0.6">
      <c r="A664">
        <v>20261057</v>
      </c>
      <c r="B664" t="s">
        <v>182</v>
      </c>
      <c r="C664" t="s">
        <v>23</v>
      </c>
      <c r="D664" t="s">
        <v>28</v>
      </c>
      <c r="E664">
        <v>3001</v>
      </c>
      <c r="F664">
        <v>5002</v>
      </c>
      <c r="G664">
        <v>47.4</v>
      </c>
      <c r="H664">
        <v>0.4740179110255674</v>
      </c>
      <c r="I664" t="s">
        <v>148</v>
      </c>
      <c r="J664">
        <v>0.52598208897443266</v>
      </c>
      <c r="K664" t="s">
        <v>149</v>
      </c>
      <c r="L664" t="s">
        <v>150</v>
      </c>
      <c r="N664">
        <v>0</v>
      </c>
      <c r="O664" s="5">
        <f t="shared" si="46"/>
        <v>1</v>
      </c>
    </row>
    <row r="665" spans="1:15" x14ac:dyDescent="0.6">
      <c r="A665">
        <v>20261055</v>
      </c>
      <c r="B665" t="s">
        <v>182</v>
      </c>
      <c r="C665" t="s">
        <v>20</v>
      </c>
      <c r="D665" t="s">
        <v>27</v>
      </c>
      <c r="E665">
        <v>7002</v>
      </c>
      <c r="F665">
        <v>11001</v>
      </c>
      <c r="G665">
        <v>46.25</v>
      </c>
      <c r="H665">
        <v>0.46249665618822222</v>
      </c>
      <c r="I665" t="s">
        <v>148</v>
      </c>
      <c r="J665">
        <v>0.53750334381177778</v>
      </c>
      <c r="K665" t="s">
        <v>149</v>
      </c>
      <c r="L665" t="s">
        <v>150</v>
      </c>
      <c r="N665">
        <v>0</v>
      </c>
      <c r="O665" s="5">
        <f t="shared" si="46"/>
        <v>1</v>
      </c>
    </row>
    <row r="666" spans="1:15" x14ac:dyDescent="0.6">
      <c r="A666">
        <v>20261056</v>
      </c>
      <c r="B666" t="s">
        <v>182</v>
      </c>
      <c r="C666" t="s">
        <v>21</v>
      </c>
      <c r="D666" t="s">
        <v>19</v>
      </c>
      <c r="E666">
        <v>2002</v>
      </c>
      <c r="F666">
        <v>9002</v>
      </c>
      <c r="G666">
        <v>51.65</v>
      </c>
      <c r="H666">
        <v>0.51652472454306331</v>
      </c>
      <c r="I666" t="s">
        <v>148</v>
      </c>
      <c r="J666">
        <v>0.51652472454306331</v>
      </c>
      <c r="K666" t="s">
        <v>149</v>
      </c>
      <c r="L666" t="s">
        <v>152</v>
      </c>
      <c r="N666">
        <v>1</v>
      </c>
      <c r="O666" s="5">
        <f t="shared" si="46"/>
        <v>1</v>
      </c>
    </row>
    <row r="667" spans="1:15" x14ac:dyDescent="0.6">
      <c r="A667">
        <v>20261058</v>
      </c>
      <c r="B667" t="s">
        <v>183</v>
      </c>
      <c r="C667" t="s">
        <v>22</v>
      </c>
      <c r="D667" t="s">
        <v>24</v>
      </c>
      <c r="E667">
        <v>1001</v>
      </c>
      <c r="F667">
        <v>12001</v>
      </c>
      <c r="G667">
        <v>36.01</v>
      </c>
      <c r="H667">
        <v>0.36009114575657558</v>
      </c>
      <c r="I667" t="s">
        <v>148</v>
      </c>
      <c r="J667">
        <v>0.63990885424342436</v>
      </c>
      <c r="K667" t="s">
        <v>154</v>
      </c>
      <c r="L667" t="s">
        <v>150</v>
      </c>
      <c r="N667">
        <v>0</v>
      </c>
      <c r="O667" s="5">
        <f t="shared" si="46"/>
        <v>1</v>
      </c>
    </row>
    <row r="668" spans="1:15" x14ac:dyDescent="0.6">
      <c r="A668">
        <v>20261059</v>
      </c>
      <c r="B668" t="s">
        <v>183</v>
      </c>
      <c r="C668" t="s">
        <v>21</v>
      </c>
      <c r="D668" t="s">
        <v>23</v>
      </c>
      <c r="E668">
        <v>2002</v>
      </c>
      <c r="F668">
        <v>3001</v>
      </c>
      <c r="G668">
        <v>58.86</v>
      </c>
      <c r="H668">
        <v>0.58861251122524183</v>
      </c>
      <c r="I668" t="s">
        <v>148</v>
      </c>
      <c r="J668">
        <v>0.58861251122524183</v>
      </c>
      <c r="K668" t="s">
        <v>151</v>
      </c>
      <c r="L668" t="s">
        <v>152</v>
      </c>
      <c r="N668">
        <v>0</v>
      </c>
      <c r="O668" s="5">
        <f t="shared" si="46"/>
        <v>0</v>
      </c>
    </row>
    <row r="669" spans="1:15" x14ac:dyDescent="0.6">
      <c r="A669">
        <v>20261060</v>
      </c>
      <c r="B669" t="s">
        <v>184</v>
      </c>
      <c r="C669" t="s">
        <v>16</v>
      </c>
      <c r="D669" t="s">
        <v>23</v>
      </c>
      <c r="E669">
        <v>6002</v>
      </c>
      <c r="F669">
        <v>3001</v>
      </c>
      <c r="G669">
        <v>54.31</v>
      </c>
      <c r="H669">
        <v>0.543083760036009</v>
      </c>
      <c r="I669" t="s">
        <v>148</v>
      </c>
      <c r="J669">
        <v>0.543083760036009</v>
      </c>
      <c r="K669" t="s">
        <v>149</v>
      </c>
      <c r="L669" t="s">
        <v>152</v>
      </c>
      <c r="N669">
        <v>0</v>
      </c>
      <c r="O669" s="5">
        <f t="shared" si="46"/>
        <v>0</v>
      </c>
    </row>
    <row r="670" spans="1:15" x14ac:dyDescent="0.6">
      <c r="A670">
        <v>20261061</v>
      </c>
      <c r="B670" t="s">
        <v>184</v>
      </c>
      <c r="C670" t="s">
        <v>22</v>
      </c>
      <c r="D670" t="s">
        <v>24</v>
      </c>
      <c r="E670">
        <v>1001</v>
      </c>
      <c r="F670">
        <v>12001</v>
      </c>
      <c r="G670">
        <v>30.84</v>
      </c>
      <c r="H670">
        <v>0.3083667388293464</v>
      </c>
      <c r="I670" t="s">
        <v>148</v>
      </c>
      <c r="J670">
        <v>0.6916332611706536</v>
      </c>
      <c r="K670" t="s">
        <v>156</v>
      </c>
      <c r="L670" t="s">
        <v>150</v>
      </c>
      <c r="N670">
        <v>0</v>
      </c>
      <c r="O670" s="5">
        <f t="shared" si="46"/>
        <v>1</v>
      </c>
    </row>
    <row r="671" spans="1:15" x14ac:dyDescent="0.6">
      <c r="A671">
        <v>20261062</v>
      </c>
      <c r="B671" t="s">
        <v>184</v>
      </c>
      <c r="C671" t="s">
        <v>21</v>
      </c>
      <c r="D671" t="s">
        <v>28</v>
      </c>
      <c r="E671">
        <v>2002</v>
      </c>
      <c r="F671">
        <v>5002</v>
      </c>
      <c r="G671">
        <v>48.53</v>
      </c>
      <c r="H671">
        <v>0.48527643022195949</v>
      </c>
      <c r="I671" t="s">
        <v>148</v>
      </c>
      <c r="J671">
        <v>0.51472356977804046</v>
      </c>
      <c r="K671" t="s">
        <v>149</v>
      </c>
      <c r="L671" t="s">
        <v>150</v>
      </c>
      <c r="N671">
        <v>1</v>
      </c>
      <c r="O671" s="5">
        <f t="shared" si="46"/>
        <v>0</v>
      </c>
    </row>
  </sheetData>
  <autoFilter ref="A1:R671" xr:uid="{00000000-0009-0000-0000-000000000000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tabSelected="1" topLeftCell="I11" workbookViewId="0">
      <selection activeCell="J2" sqref="J2"/>
    </sheetView>
  </sheetViews>
  <sheetFormatPr defaultRowHeight="16.899999999999999" x14ac:dyDescent="0.6"/>
  <cols>
    <col min="1" max="1" width="23" style="5" bestFit="1" customWidth="1"/>
    <col min="2" max="3" width="13" style="5" bestFit="1" customWidth="1"/>
    <col min="4" max="4" width="7.1875" style="5" bestFit="1" customWidth="1"/>
    <col min="5" max="5" width="7.1875" style="5" customWidth="1"/>
    <col min="6" max="6" width="26.375" style="5" bestFit="1" customWidth="1"/>
    <col min="7" max="7" width="13" style="5" bestFit="1" customWidth="1"/>
    <col min="8" max="8" width="7.1875" style="5" bestFit="1" customWidth="1"/>
    <col min="10" max="10" width="26.375" style="5" bestFit="1" customWidth="1"/>
    <col min="11" max="11" width="13" style="5" bestFit="1" customWidth="1"/>
    <col min="12" max="12" width="7.1875" style="5" bestFit="1" customWidth="1"/>
    <col min="13" max="13" width="12.5625" style="5" bestFit="1" customWidth="1"/>
    <col min="14" max="14" width="26.375" style="5" bestFit="1" customWidth="1"/>
    <col min="15" max="15" width="24" style="5" bestFit="1" customWidth="1"/>
    <col min="16" max="16" width="15.1875" style="5" bestFit="1" customWidth="1"/>
  </cols>
  <sheetData>
    <row r="1" spans="1:16" x14ac:dyDescent="0.6">
      <c r="A1" t="s">
        <v>185</v>
      </c>
      <c r="F1" t="s">
        <v>186</v>
      </c>
      <c r="J1" t="s">
        <v>187</v>
      </c>
      <c r="N1" t="s">
        <v>188</v>
      </c>
    </row>
    <row r="2" spans="1:16" x14ac:dyDescent="0.6">
      <c r="A2"/>
      <c r="B2" s="2" t="s">
        <v>189</v>
      </c>
      <c r="C2"/>
      <c r="D2"/>
      <c r="F2"/>
      <c r="G2" s="2" t="s">
        <v>189</v>
      </c>
      <c r="H2"/>
      <c r="J2"/>
      <c r="K2" s="2" t="s">
        <v>189</v>
      </c>
      <c r="L2"/>
      <c r="N2"/>
      <c r="O2" s="2" t="s">
        <v>189</v>
      </c>
      <c r="P2"/>
    </row>
    <row r="3" spans="1:16" x14ac:dyDescent="0.6">
      <c r="A3" s="2" t="s">
        <v>190</v>
      </c>
      <c r="B3" s="5" t="s">
        <v>191</v>
      </c>
      <c r="C3" s="5" t="s">
        <v>192</v>
      </c>
      <c r="D3" s="5" t="s">
        <v>193</v>
      </c>
      <c r="F3" s="2" t="s">
        <v>190</v>
      </c>
      <c r="G3" s="5" t="s">
        <v>191</v>
      </c>
      <c r="H3" s="5" t="s">
        <v>193</v>
      </c>
      <c r="J3" s="2" t="s">
        <v>190</v>
      </c>
      <c r="K3" s="5" t="s">
        <v>191</v>
      </c>
      <c r="L3" s="5" t="s">
        <v>193</v>
      </c>
      <c r="N3" s="2" t="s">
        <v>190</v>
      </c>
      <c r="O3" s="5" t="s">
        <v>194</v>
      </c>
      <c r="P3" s="5" t="s">
        <v>195</v>
      </c>
    </row>
    <row r="4" spans="1:16" x14ac:dyDescent="0.6">
      <c r="A4" s="3" t="s">
        <v>45</v>
      </c>
      <c r="B4" s="6">
        <v>0.54716981132075471</v>
      </c>
      <c r="C4" s="6">
        <v>0.28880763633726553</v>
      </c>
      <c r="D4" s="6">
        <v>53</v>
      </c>
      <c r="F4" s="3" t="s">
        <v>45</v>
      </c>
      <c r="G4" s="6">
        <v>0.54716981132075471</v>
      </c>
      <c r="H4" s="6">
        <v>54</v>
      </c>
      <c r="J4" s="3" t="s">
        <v>45</v>
      </c>
      <c r="K4" s="6">
        <v>0.54716981132075471</v>
      </c>
      <c r="L4" s="6">
        <v>54</v>
      </c>
      <c r="N4" s="3" t="s">
        <v>45</v>
      </c>
      <c r="O4" s="6">
        <v>0.63794881358752253</v>
      </c>
      <c r="P4" s="6">
        <v>0.54716981132075471</v>
      </c>
    </row>
    <row r="5" spans="1:16" x14ac:dyDescent="0.6">
      <c r="A5" s="3" t="s">
        <v>48</v>
      </c>
      <c r="B5" s="6">
        <v>0.47169811320754718</v>
      </c>
      <c r="C5" s="6">
        <v>0.25542620902672081</v>
      </c>
      <c r="D5" s="6">
        <v>53</v>
      </c>
      <c r="F5" s="3" t="s">
        <v>48</v>
      </c>
      <c r="G5" s="6">
        <v>0.47169811320754718</v>
      </c>
      <c r="H5" s="6">
        <v>56</v>
      </c>
      <c r="J5" s="4" t="s">
        <v>150</v>
      </c>
      <c r="K5" s="6">
        <v>0.6333333333333333</v>
      </c>
      <c r="L5" s="6">
        <v>31</v>
      </c>
      <c r="N5" s="3" t="s">
        <v>48</v>
      </c>
      <c r="O5" s="6">
        <v>0.61864866485991232</v>
      </c>
      <c r="P5" s="6">
        <v>0.47169811320754718</v>
      </c>
    </row>
    <row r="6" spans="1:16" x14ac:dyDescent="0.6">
      <c r="A6" s="3" t="s">
        <v>78</v>
      </c>
      <c r="B6" s="6">
        <v>0.44</v>
      </c>
      <c r="C6" s="6">
        <v>0.27048228950348119</v>
      </c>
      <c r="D6" s="6">
        <v>25</v>
      </c>
      <c r="F6" s="3" t="s">
        <v>78</v>
      </c>
      <c r="G6" s="6">
        <v>0.44</v>
      </c>
      <c r="H6" s="6">
        <v>25</v>
      </c>
      <c r="J6" s="4" t="s">
        <v>152</v>
      </c>
      <c r="K6" s="6">
        <v>0.43478260869565216</v>
      </c>
      <c r="L6" s="6">
        <v>23</v>
      </c>
      <c r="N6" s="3" t="s">
        <v>78</v>
      </c>
      <c r="O6" s="6">
        <v>0.60386159593053723</v>
      </c>
      <c r="P6" s="6">
        <v>0.44</v>
      </c>
    </row>
    <row r="7" spans="1:16" x14ac:dyDescent="0.6">
      <c r="A7" s="3" t="s">
        <v>70</v>
      </c>
      <c r="B7" s="6">
        <v>0.53448275862068961</v>
      </c>
      <c r="C7" s="6">
        <v>0.25670236586007034</v>
      </c>
      <c r="D7" s="6">
        <v>290</v>
      </c>
      <c r="F7" s="3" t="s">
        <v>70</v>
      </c>
      <c r="G7" s="6">
        <v>0.53448275862068961</v>
      </c>
      <c r="H7" s="6">
        <v>327</v>
      </c>
      <c r="J7" s="3" t="s">
        <v>48</v>
      </c>
      <c r="K7" s="6">
        <v>0.47169811320754718</v>
      </c>
      <c r="L7" s="6">
        <v>56</v>
      </c>
      <c r="N7" s="3" t="s">
        <v>70</v>
      </c>
      <c r="O7" s="6">
        <v>0.60228829781852655</v>
      </c>
      <c r="P7" s="6">
        <v>0.53448275862068961</v>
      </c>
    </row>
    <row r="8" spans="1:16" x14ac:dyDescent="0.6">
      <c r="A8" s="3" t="s">
        <v>143</v>
      </c>
      <c r="B8" s="6">
        <v>0.44444444444444442</v>
      </c>
      <c r="C8" s="6">
        <v>0.21686897527029461</v>
      </c>
      <c r="D8" s="6">
        <v>18</v>
      </c>
      <c r="F8" s="4" t="s">
        <v>149</v>
      </c>
      <c r="G8" s="6">
        <v>0.4631578947368421</v>
      </c>
      <c r="H8" s="6">
        <v>99</v>
      </c>
      <c r="J8" s="4" t="s">
        <v>150</v>
      </c>
      <c r="K8" s="6">
        <v>0.36363636363636365</v>
      </c>
      <c r="L8" s="6">
        <v>23</v>
      </c>
      <c r="N8" s="4" t="s">
        <v>149</v>
      </c>
      <c r="O8" s="6">
        <v>0.52698377813671426</v>
      </c>
      <c r="P8" s="6">
        <v>0.4631578947368421</v>
      </c>
    </row>
    <row r="9" spans="1:16" x14ac:dyDescent="0.6">
      <c r="A9" s="3" t="s">
        <v>148</v>
      </c>
      <c r="B9" s="6">
        <v>0.63793103448275867</v>
      </c>
      <c r="C9" s="6">
        <v>0.2473820146867641</v>
      </c>
      <c r="D9" s="6">
        <v>116</v>
      </c>
      <c r="F9" s="4" t="s">
        <v>151</v>
      </c>
      <c r="G9" s="6">
        <v>0.49333333333333335</v>
      </c>
      <c r="H9" s="6">
        <v>92</v>
      </c>
      <c r="J9" s="4" t="s">
        <v>152</v>
      </c>
      <c r="K9" s="6">
        <v>0.54838709677419351</v>
      </c>
      <c r="L9" s="6">
        <v>33</v>
      </c>
      <c r="N9" s="4" t="s">
        <v>151</v>
      </c>
      <c r="O9" s="6">
        <v>0.57509104973646596</v>
      </c>
      <c r="P9" s="6">
        <v>0.49333333333333335</v>
      </c>
    </row>
    <row r="10" spans="1:16" x14ac:dyDescent="0.6">
      <c r="A10" s="3" t="s">
        <v>18</v>
      </c>
      <c r="B10" s="6">
        <v>0.4</v>
      </c>
      <c r="C10" s="6">
        <v>0.24105528333333334</v>
      </c>
      <c r="D10" s="6">
        <v>15</v>
      </c>
      <c r="F10" s="4" t="s">
        <v>154</v>
      </c>
      <c r="G10" s="6">
        <v>0.55555555555555558</v>
      </c>
      <c r="H10" s="6">
        <v>64</v>
      </c>
      <c r="J10" s="3" t="s">
        <v>78</v>
      </c>
      <c r="K10" s="6">
        <v>0.44</v>
      </c>
      <c r="L10" s="6">
        <v>25</v>
      </c>
      <c r="N10" s="4" t="s">
        <v>154</v>
      </c>
      <c r="O10" s="6">
        <v>0.62588538741478239</v>
      </c>
      <c r="P10" s="6">
        <v>0.55555555555555558</v>
      </c>
    </row>
    <row r="11" spans="1:16" x14ac:dyDescent="0.6">
      <c r="A11" s="3" t="s">
        <v>36</v>
      </c>
      <c r="B11" s="6">
        <v>0.52941176470588236</v>
      </c>
      <c r="C11" s="6">
        <v>0.24304340529411772</v>
      </c>
      <c r="D11" s="6">
        <v>17</v>
      </c>
      <c r="F11" s="4" t="s">
        <v>156</v>
      </c>
      <c r="G11" s="6">
        <v>0.65625</v>
      </c>
      <c r="H11" s="6">
        <v>35</v>
      </c>
      <c r="J11" s="4" t="s">
        <v>150</v>
      </c>
      <c r="K11" s="6">
        <v>0.4375</v>
      </c>
      <c r="L11" s="6">
        <v>16</v>
      </c>
      <c r="N11" s="4" t="s">
        <v>156</v>
      </c>
      <c r="O11" s="6">
        <v>0.67009237920963938</v>
      </c>
      <c r="P11" s="6">
        <v>0.65625</v>
      </c>
    </row>
    <row r="12" spans="1:16" x14ac:dyDescent="0.6">
      <c r="A12" s="3" t="s">
        <v>30</v>
      </c>
      <c r="B12" s="6">
        <v>0.36</v>
      </c>
      <c r="C12" s="6">
        <v>0.26364482720000004</v>
      </c>
      <c r="D12" s="6">
        <v>25</v>
      </c>
      <c r="F12" s="4" t="s">
        <v>173</v>
      </c>
      <c r="G12" s="6">
        <v>0.67647058823529416</v>
      </c>
      <c r="H12" s="6">
        <v>37</v>
      </c>
      <c r="J12" s="4" t="s">
        <v>152</v>
      </c>
      <c r="K12" s="6">
        <v>0.44444444444444442</v>
      </c>
      <c r="L12" s="6">
        <v>9</v>
      </c>
      <c r="N12" s="4" t="s">
        <v>173</v>
      </c>
      <c r="O12" s="6">
        <v>0.76644877590500837</v>
      </c>
      <c r="P12" s="6">
        <v>0.67647058823529416</v>
      </c>
    </row>
    <row r="13" spans="1:16" x14ac:dyDescent="0.6">
      <c r="A13" s="3" t="s">
        <v>196</v>
      </c>
      <c r="B13" s="6"/>
      <c r="C13" s="6"/>
      <c r="D13" s="6"/>
      <c r="F13" s="3" t="s">
        <v>18</v>
      </c>
      <c r="G13" s="6">
        <v>0.4</v>
      </c>
      <c r="H13" s="6">
        <v>15</v>
      </c>
      <c r="J13" s="3" t="s">
        <v>70</v>
      </c>
      <c r="K13" s="6">
        <v>0.53448275862068961</v>
      </c>
      <c r="L13" s="6">
        <v>327</v>
      </c>
      <c r="N13" s="3" t="s">
        <v>18</v>
      </c>
      <c r="O13" s="6">
        <v>0.69533999999999996</v>
      </c>
      <c r="P13" s="6">
        <v>0.4</v>
      </c>
    </row>
    <row r="14" spans="1:16" x14ac:dyDescent="0.6">
      <c r="A14" s="3" t="s">
        <v>197</v>
      </c>
      <c r="B14" s="6">
        <v>0.5326797385620915</v>
      </c>
      <c r="C14" s="6">
        <v>0.25845327653137606</v>
      </c>
      <c r="D14" s="6">
        <v>612</v>
      </c>
      <c r="F14" s="3" t="s">
        <v>36</v>
      </c>
      <c r="G14" s="6">
        <v>0.52941176470588236</v>
      </c>
      <c r="H14" s="6">
        <v>20</v>
      </c>
      <c r="J14" s="4" t="s">
        <v>150</v>
      </c>
      <c r="K14" s="6">
        <v>0.50340136054421769</v>
      </c>
      <c r="L14" s="6">
        <v>168</v>
      </c>
      <c r="N14" s="3" t="s">
        <v>36</v>
      </c>
      <c r="O14" s="6">
        <v>0.53059500000000015</v>
      </c>
      <c r="P14" s="6">
        <v>0.52941176470588236</v>
      </c>
    </row>
    <row r="15" spans="1:16" x14ac:dyDescent="0.6">
      <c r="F15" s="3" t="s">
        <v>30</v>
      </c>
      <c r="G15" s="6">
        <v>0.36</v>
      </c>
      <c r="H15" s="6">
        <v>30</v>
      </c>
      <c r="J15" s="4" t="s">
        <v>152</v>
      </c>
      <c r="K15" s="6">
        <v>0.56643356643356646</v>
      </c>
      <c r="L15" s="6">
        <v>159</v>
      </c>
      <c r="N15" s="3" t="s">
        <v>30</v>
      </c>
      <c r="O15" s="6">
        <v>0.65266666666666651</v>
      </c>
      <c r="P15" s="6">
        <v>0.36</v>
      </c>
    </row>
    <row r="16" spans="1:16" x14ac:dyDescent="0.6">
      <c r="F16" s="3" t="s">
        <v>196</v>
      </c>
      <c r="G16" s="6"/>
      <c r="H16" s="6"/>
      <c r="J16" s="3" t="s">
        <v>18</v>
      </c>
      <c r="K16" s="6">
        <v>0.4</v>
      </c>
      <c r="L16" s="6">
        <v>15</v>
      </c>
      <c r="N16" s="3" t="s">
        <v>196</v>
      </c>
      <c r="O16" s="6"/>
      <c r="P16" s="6"/>
    </row>
    <row r="17" spans="6:16" x14ac:dyDescent="0.6">
      <c r="F17" s="3" t="s">
        <v>143</v>
      </c>
      <c r="G17" s="6">
        <v>0.44444444444444442</v>
      </c>
      <c r="H17" s="6">
        <v>20</v>
      </c>
      <c r="J17" s="3" t="s">
        <v>36</v>
      </c>
      <c r="K17" s="6">
        <v>0.52941176470588236</v>
      </c>
      <c r="L17" s="6">
        <v>20</v>
      </c>
      <c r="N17" s="3" t="s">
        <v>143</v>
      </c>
      <c r="O17" s="6">
        <v>0.57020590558080475</v>
      </c>
      <c r="P17" s="6">
        <v>0.44444444444444442</v>
      </c>
    </row>
    <row r="18" spans="6:16" x14ac:dyDescent="0.6">
      <c r="F18" s="4" t="s">
        <v>149</v>
      </c>
      <c r="G18" s="6">
        <v>0.375</v>
      </c>
      <c r="H18" s="6">
        <v>9</v>
      </c>
      <c r="J18" s="3" t="s">
        <v>30</v>
      </c>
      <c r="K18" s="6">
        <v>0.36</v>
      </c>
      <c r="L18" s="6">
        <v>30</v>
      </c>
      <c r="N18" s="4" t="s">
        <v>149</v>
      </c>
      <c r="O18" s="6">
        <v>0.5265727903387174</v>
      </c>
      <c r="P18" s="6">
        <v>0.375</v>
      </c>
    </row>
    <row r="19" spans="6:16" x14ac:dyDescent="0.6">
      <c r="F19" s="4" t="s">
        <v>151</v>
      </c>
      <c r="G19" s="6">
        <v>0.33333333333333331</v>
      </c>
      <c r="H19" s="6">
        <v>7</v>
      </c>
      <c r="J19" s="3" t="s">
        <v>196</v>
      </c>
      <c r="K19" s="6"/>
      <c r="L19" s="6"/>
      <c r="N19" s="4" t="s">
        <v>151</v>
      </c>
      <c r="O19" s="6">
        <v>0.56944227462552477</v>
      </c>
      <c r="P19" s="6">
        <v>0.33333333333333331</v>
      </c>
    </row>
    <row r="20" spans="6:16" x14ac:dyDescent="0.6">
      <c r="F20" s="4" t="s">
        <v>154</v>
      </c>
      <c r="G20" s="6">
        <v>0.66666666666666663</v>
      </c>
      <c r="H20" s="6">
        <v>3</v>
      </c>
      <c r="J20" s="3" t="s">
        <v>143</v>
      </c>
      <c r="K20" s="6">
        <v>0.44444444444444442</v>
      </c>
      <c r="L20" s="6">
        <v>20</v>
      </c>
      <c r="N20" s="4" t="s">
        <v>154</v>
      </c>
      <c r="O20" s="6">
        <v>0.62505521345874648</v>
      </c>
      <c r="P20" s="6">
        <v>0.66666666666666663</v>
      </c>
    </row>
    <row r="21" spans="6:16" x14ac:dyDescent="0.6">
      <c r="F21" s="4" t="s">
        <v>173</v>
      </c>
      <c r="G21" s="6">
        <v>1</v>
      </c>
      <c r="H21" s="6">
        <v>1</v>
      </c>
      <c r="J21" s="4" t="s">
        <v>150</v>
      </c>
      <c r="K21" s="6">
        <v>0.3</v>
      </c>
      <c r="L21" s="6">
        <v>12</v>
      </c>
      <c r="N21" s="4" t="s">
        <v>173</v>
      </c>
      <c r="O21" s="6">
        <v>0.80370143581272657</v>
      </c>
      <c r="P21" s="6">
        <v>1</v>
      </c>
    </row>
    <row r="22" spans="6:16" x14ac:dyDescent="0.6">
      <c r="F22" s="3" t="s">
        <v>148</v>
      </c>
      <c r="G22" s="6">
        <v>0.63793103448275867</v>
      </c>
      <c r="H22" s="6">
        <v>123</v>
      </c>
      <c r="J22" s="4" t="s">
        <v>152</v>
      </c>
      <c r="K22" s="6">
        <v>0.625</v>
      </c>
      <c r="L22" s="6">
        <v>8</v>
      </c>
      <c r="N22" s="3" t="s">
        <v>148</v>
      </c>
      <c r="O22" s="6">
        <v>0.57721065225527857</v>
      </c>
      <c r="P22" s="6">
        <v>0.63793103448275867</v>
      </c>
    </row>
    <row r="23" spans="6:16" x14ac:dyDescent="0.6">
      <c r="F23" s="4" t="s">
        <v>149</v>
      </c>
      <c r="G23" s="6">
        <v>0.55813953488372092</v>
      </c>
      <c r="H23" s="6">
        <v>47</v>
      </c>
      <c r="J23" s="3" t="s">
        <v>148</v>
      </c>
      <c r="K23" s="6">
        <v>0.63793103448275867</v>
      </c>
      <c r="L23" s="6">
        <v>123</v>
      </c>
      <c r="N23" s="4" t="s">
        <v>149</v>
      </c>
      <c r="O23" s="6">
        <v>0.52594940266491208</v>
      </c>
      <c r="P23" s="6">
        <v>0.55813953488372092</v>
      </c>
    </row>
    <row r="24" spans="6:16" x14ac:dyDescent="0.6">
      <c r="F24" s="4" t="s">
        <v>151</v>
      </c>
      <c r="G24" s="6">
        <v>0.6216216216216216</v>
      </c>
      <c r="H24" s="6">
        <v>40</v>
      </c>
      <c r="J24" s="4" t="s">
        <v>150</v>
      </c>
      <c r="K24" s="6">
        <v>0.63492063492063489</v>
      </c>
      <c r="L24" s="6">
        <v>69</v>
      </c>
      <c r="N24" s="4" t="s">
        <v>151</v>
      </c>
      <c r="O24" s="6">
        <v>0.57389656251630217</v>
      </c>
      <c r="P24" s="6">
        <v>0.6216216216216216</v>
      </c>
    </row>
    <row r="25" spans="6:16" x14ac:dyDescent="0.6">
      <c r="F25" s="4" t="s">
        <v>154</v>
      </c>
      <c r="G25" s="6">
        <v>0.66666666666666663</v>
      </c>
      <c r="H25" s="6">
        <v>21</v>
      </c>
      <c r="J25" s="4" t="s">
        <v>152</v>
      </c>
      <c r="K25" s="6">
        <v>0.64150943396226412</v>
      </c>
      <c r="L25" s="6">
        <v>54</v>
      </c>
      <c r="N25" s="4" t="s">
        <v>154</v>
      </c>
      <c r="O25" s="6">
        <v>0.62527027668501656</v>
      </c>
      <c r="P25" s="6">
        <v>0.66666666666666663</v>
      </c>
    </row>
    <row r="26" spans="6:16" x14ac:dyDescent="0.6">
      <c r="F26" s="4" t="s">
        <v>156</v>
      </c>
      <c r="G26" s="6">
        <v>0.8571428571428571</v>
      </c>
      <c r="H26" s="6">
        <v>14</v>
      </c>
      <c r="J26" s="3" t="s">
        <v>197</v>
      </c>
      <c r="K26" s="6">
        <v>0.5326797385620915</v>
      </c>
      <c r="L26" s="6">
        <v>670</v>
      </c>
      <c r="N26" s="4" t="s">
        <v>156</v>
      </c>
      <c r="O26" s="6">
        <v>0.67710096253993701</v>
      </c>
      <c r="P26" s="6">
        <v>0.8571428571428571</v>
      </c>
    </row>
    <row r="27" spans="6:16" x14ac:dyDescent="0.6">
      <c r="F27" s="4" t="s">
        <v>173</v>
      </c>
      <c r="G27" s="6">
        <v>1</v>
      </c>
      <c r="H27" s="6">
        <v>1</v>
      </c>
      <c r="N27" s="4" t="s">
        <v>173</v>
      </c>
      <c r="O27" s="6">
        <v>0.71133651555185839</v>
      </c>
      <c r="P27" s="6">
        <v>1</v>
      </c>
    </row>
    <row r="28" spans="6:16" x14ac:dyDescent="0.6">
      <c r="F28" s="3" t="s">
        <v>197</v>
      </c>
      <c r="G28" s="6">
        <v>0.5326797385620915</v>
      </c>
      <c r="H28" s="6">
        <v>670</v>
      </c>
      <c r="N28" s="3" t="s">
        <v>197</v>
      </c>
      <c r="O28" s="6">
        <v>0.60322597431316138</v>
      </c>
      <c r="P28" s="6">
        <v>0.5326797385620915</v>
      </c>
    </row>
  </sheetData>
  <phoneticPr fontId="2" type="noConversion"/>
  <conditionalFormatting sqref="B3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Raw_Submission_Log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2026-04-28T07:04:35Z</dcterms:created>
  <dcterms:modified xsi:type="dcterms:W3CDTF">2026-10-14T00:20:14Z</dcterms:modified>
</cp:coreProperties>
</file>